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53b802206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be13a41aa2d4d8d"/>
    <x:sheet xmlns:r="http://schemas.openxmlformats.org/officeDocument/2006/relationships" name="Guide" sheetId="2" r:id="Re4d4dbf197224f56"/>
    <x:sheet xmlns:r="http://schemas.openxmlformats.org/officeDocument/2006/relationships" name="Weekly KPI" sheetId="3" r:id="R0e758ced63074969"/>
    <x:sheet xmlns:r="http://schemas.openxmlformats.org/officeDocument/2006/relationships" name="Keyword Master" sheetId="4" r:id="R12bbee83d2a34a17"/>
    <x:sheet xmlns:r="http://schemas.openxmlformats.org/officeDocument/2006/relationships" name="Rank Tracker" sheetId="5" r:id="Rf31ce42ef383402e"/>
    <x:sheet xmlns:r="http://schemas.openxmlformats.org/officeDocument/2006/relationships" name="Page Map" sheetId="6" r:id="Rf7d8a1781d25436f"/>
    <x:sheet xmlns:r="http://schemas.openxmlformats.org/officeDocument/2006/relationships" name="Content Pipeline" sheetId="7" r:id="R1de491401ba2460b"/>
    <x:sheet xmlns:r="http://schemas.openxmlformats.org/officeDocument/2006/relationships" name="Backlink CRM" sheetId="8" r:id="R6481acf717f54eac"/>
    <x:sheet xmlns:r="http://schemas.openxmlformats.org/officeDocument/2006/relationships" name="AI Visibility" sheetId="9" r:id="R84f5a865734b4ff6"/>
    <x:sheet xmlns:r="http://schemas.openxmlformats.org/officeDocument/2006/relationships" name="Competitors" sheetId="10" r:id="R605c0f27eb194139"/>
    <x:sheet xmlns:r="http://schemas.openxmlformats.org/officeDocument/2006/relationships" name="Experiments" sheetId="11" r:id="R44386797d3b94db8"/>
    <x:sheet xmlns:r="http://schemas.openxmlformats.org/officeDocument/2006/relationships" name="Sources" sheetId="12" r:id="R0a9e1c4722f44b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.0%"/>
    <x:numFmt numFmtId="203" formatCode="0.0"/>
    <x:numFmt numFmtId="204" formatCode="0"/>
    <x:numFmt numFmtId="205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0"/>
      <x:color rgb="FFFFFFFF"/>
      <x:name val="Carlito"/>
    </x:font>
    <x:font>
      <x:sz val="11"/>
      <x:color rgb="FF1F2937"/>
      <x:name val="Carlito"/>
    </x:font>
    <x:font>
      <x:b/>
      <x:sz val="11"/>
      <x:color rgb="FF17324D"/>
      <x:name val="Carlito"/>
    </x:font>
    <x:font>
      <x:b/>
      <x:sz val="20"/>
      <x:color rgb="FF1F2937"/>
      <x:name val="Carlito"/>
    </x:font>
    <x:font>
      <x:i/>
      <x:sz val="9"/>
      <x:color rgb="FF64748B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F"/>
      </x:patternFill>
    </x:fill>
    <x:fill>
      <x:patternFill patternType="solid">
        <x:fgColor rgb="FF0F766E"/>
      </x:patternFill>
    </x:fill>
    <x:fill>
      <x:patternFill patternType="solid">
        <x:fgColor rgb="FFF1F5F9"/>
      </x:patternFill>
    </x:fill>
    <x:fill>
      <x:patternFill patternType="solid">
        <x:fgColor rgb="FFFFF7D6"/>
      </x:patternFill>
    </x:fill>
    <x:fill>
      <x:patternFill patternType="solid">
        <x:fgColor rgb="FFEAF8EF"/>
      </x:patternFill>
    </x:fill>
    <x:fill>
      <x:patternFill patternType="solid">
        <x:fgColor rgb="FFFDECEC"/>
      </x:patternFill>
    </x:fill>
  </x:fills>
  <x:borders count="15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top style="thin">
        <x:color rgb="FF0F766E"/>
      </x:top>
      <x:bottom style="thin">
        <x:color rgb="FF0F766E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3" fontId="0" fillId="6" borderId="0" xfId="0" applyNumberFormat="1" applyFont="1" applyFill="1" applyBorder="1"/>
    <x:xf numFmtId="202" fontId="0" fillId="5" borderId="0" xfId="0" applyNumberFormat="1" applyFont="1" applyFill="1" applyBorder="1"/>
    <x:xf numFmtId="200" fontId="0" fillId="6" borderId="3" xfId="0" applyNumberFormat="1" applyFont="1" applyFill="1" applyBorder="1"/>
    <x:xf numFmtId="201" fontId="0" fillId="6" borderId="3" xfId="0" applyNumberFormat="1" applyFont="1" applyFill="1" applyBorder="1"/>
    <x:xf numFmtId="202" fontId="0" fillId="5" borderId="3" xfId="0" applyNumberFormat="1" applyFont="1" applyFill="1" applyBorder="1"/>
    <x:xf numFmtId="203" fontId="0" fillId="6" borderId="3" xfId="0" applyNumberFormat="1" applyFont="1" applyFill="1" applyBorder="1"/>
    <x:xf numFmtId="0" fontId="0" fillId="6" borderId="3" xfId="0" applyNumberFormat="1" applyFont="1" applyFill="1" applyBorder="1"/>
    <x:xf numFmtId="200" fontId="0" fillId="6" borderId="4" xfId="0" applyNumberFormat="1" applyFont="1" applyFill="1" applyBorder="1"/>
    <x:xf numFmtId="201" fontId="0" fillId="6" borderId="4" xfId="0" applyNumberFormat="1" applyFont="1" applyFill="1" applyBorder="1"/>
    <x:xf numFmtId="202" fontId="0" fillId="5" borderId="4" xfId="0" applyNumberFormat="1" applyFont="1" applyFill="1" applyBorder="1"/>
    <x:xf numFmtId="203" fontId="0" fillId="6" borderId="4" xfId="0" applyNumberFormat="1" applyFont="1" applyFill="1" applyBorder="1"/>
    <x:xf numFmtId="0" fontId="0" fillId="6" borderId="4" xfId="0" applyNumberFormat="1" applyFont="1" applyFill="1" applyBorder="1"/>
    <x:xf numFmtId="200" fontId="0" fillId="6" borderId="5" xfId="0" applyNumberFormat="1" applyFont="1" applyFill="1" applyBorder="1"/>
    <x:xf numFmtId="201" fontId="0" fillId="6" borderId="5" xfId="0" applyNumberFormat="1" applyFont="1" applyFill="1" applyBorder="1"/>
    <x:xf numFmtId="202" fontId="0" fillId="5" borderId="5" xfId="0" applyNumberFormat="1" applyFont="1" applyFill="1" applyBorder="1"/>
    <x:xf numFmtId="203" fontId="0" fillId="6" borderId="5" xfId="0" applyNumberFormat="1" applyFont="1" applyFill="1" applyBorder="1"/>
    <x:xf numFmtId="0" fontId="0" fillId="6" borderId="5" xfId="0" applyNumberFormat="1" applyFont="1" applyFill="1" applyBorder="1"/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6" borderId="0" xfId="0" applyNumberFormat="1" applyFont="1" applyFill="1" applyBorder="1"/>
    <x:xf numFmtId="204" fontId="0" fillId="5" borderId="0" xfId="0" applyNumberFormat="1" applyFont="1" applyFill="1" applyBorder="1"/>
    <x:xf numFmtId="204" fontId="0" fillId="6" borderId="0" xfId="0" applyNumberFormat="1" applyFont="1" applyFill="1" applyBorder="1" applyAlignment="1">
      <x:alignment wrapText="1"/>
    </x:xf>
    <x:xf numFmtId="204" fontId="0" fillId="5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4" fontId="0" fillId="6" borderId="3" xfId="0" applyNumberFormat="1" applyFont="1" applyFill="1" applyBorder="1" applyAlignment="1">
      <x:alignment wrapText="1"/>
    </x:xf>
    <x:xf numFmtId="204" fontId="0" fillId="5" borderId="3" xfId="0" applyNumberFormat="1" applyFont="1" applyFill="1" applyBorder="1" applyAlignment="1">
      <x:alignment wrapText="1"/>
    </x:xf>
    <x:xf numFmtId="200" fontId="0" fillId="6" borderId="3" xfId="0" applyNumberFormat="1" applyFont="1" applyFill="1" applyBorder="1" applyAlignment="1">
      <x:alignment wrapText="1"/>
    </x:xf>
    <x:xf numFmtId="204" fontId="0" fillId="6" borderId="4" xfId="0" applyNumberFormat="1" applyFont="1" applyFill="1" applyBorder="1" applyAlignment="1">
      <x:alignment wrapText="1"/>
    </x:xf>
    <x:xf numFmtId="204" fontId="0" fillId="5" borderId="4" xfId="0" applyNumberFormat="1" applyFont="1" applyFill="1" applyBorder="1" applyAlignment="1">
      <x:alignment wrapText="1"/>
    </x:xf>
    <x:xf numFmtId="200" fontId="0" fillId="6" borderId="4" xfId="0" applyNumberFormat="1" applyFont="1" applyFill="1" applyBorder="1" applyAlignment="1">
      <x:alignment wrapText="1"/>
    </x:xf>
    <x:xf numFmtId="204" fontId="0" fillId="6" borderId="5" xfId="0" applyNumberFormat="1" applyFont="1" applyFill="1" applyBorder="1" applyAlignment="1">
      <x:alignment wrapText="1"/>
    </x:xf>
    <x:xf numFmtId="204" fontId="0" fillId="5" borderId="5" xfId="0" applyNumberFormat="1" applyFont="1" applyFill="1" applyBorder="1" applyAlignment="1">
      <x:alignment wrapText="1"/>
    </x:xf>
    <x:xf numFmtId="200" fontId="0" fillId="6" borderId="5" xfId="0" applyNumberFormat="1" applyFont="1" applyFill="1" applyBorder="1" applyAlignment="1">
      <x:alignment wrapText="1"/>
    </x:xf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202" fontId="0" fillId="5" borderId="3" xfId="0" applyNumberFormat="1" applyFont="1" applyFill="1" applyBorder="1" applyAlignment="1">
      <x:alignment wrapText="1"/>
    </x:xf>
    <x:xf numFmtId="203" fontId="0" fillId="6" borderId="3" xfId="0" applyNumberFormat="1" applyFont="1" applyFill="1" applyBorder="1" applyAlignment="1">
      <x:alignment wrapText="1"/>
    </x:xf>
    <x:xf numFmtId="202" fontId="0" fillId="5" borderId="4" xfId="0" applyNumberFormat="1" applyFont="1" applyFill="1" applyBorder="1" applyAlignment="1">
      <x:alignment wrapText="1"/>
    </x:xf>
    <x:xf numFmtId="203" fontId="0" fillId="6" borderId="4" xfId="0" applyNumberFormat="1" applyFont="1" applyFill="1" applyBorder="1" applyAlignment="1">
      <x:alignment wrapText="1"/>
    </x:xf>
    <x:xf numFmtId="202" fontId="0" fillId="5" borderId="5" xfId="0" applyNumberFormat="1" applyFont="1" applyFill="1" applyBorder="1" applyAlignment="1">
      <x:alignment wrapText="1"/>
    </x:xf>
    <x:xf numFmtId="203" fontId="0" fillId="6" borderId="5" xfId="0" applyNumberFormat="1" applyFont="1" applyFill="1" applyBorder="1" applyAlignment="1">
      <x:alignment wrapText="1"/>
    </x:xf>
    <x:xf numFmtId="201" fontId="0" fillId="6" borderId="3" xfId="0" applyNumberFormat="1" applyFont="1" applyFill="1" applyBorder="1" applyAlignment="1">
      <x:alignment wrapText="1"/>
    </x:xf>
    <x:xf numFmtId="201" fontId="0" fillId="6" borderId="4" xfId="0" applyNumberFormat="1" applyFont="1" applyFill="1" applyBorder="1" applyAlignment="1">
      <x:alignment wrapText="1"/>
    </x:xf>
    <x:xf numFmtId="201" fontId="0" fillId="6" borderId="5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6" borderId="0" xfId="0" applyNumberFormat="1" applyFont="1" applyFill="1" applyBorder="1"/>
    <x:xf numFmtId="205" fontId="0" fillId="6" borderId="3" xfId="0" applyNumberFormat="1" applyFont="1" applyFill="1" applyBorder="1"/>
    <x:xf numFmtId="205" fontId="0" fillId="6" borderId="4" xfId="0" applyNumberFormat="1" applyFont="1" applyFill="1" applyBorder="1"/>
    <x:xf numFmtId="205" fontId="0" fillId="6" borderId="5" xfId="0" applyNumberFormat="1" applyFont="1" applyFill="1" applyBorder="1"/>
    <x:xf numFmtId="205" fontId="0" fillId="6" borderId="3" xfId="0" applyNumberFormat="1" applyFont="1" applyFill="1" applyBorder="1" applyAlignment="1">
      <x:alignment wrapText="1"/>
    </x:xf>
    <x:xf numFmtId="205" fontId="0" fillId="6" borderId="4" xfId="0" applyNumberFormat="1" applyFont="1" applyFill="1" applyBorder="1" applyAlignment="1">
      <x:alignment wrapText="1"/>
    </x:xf>
    <x:xf numFmtId="205" fontId="0" fillId="6" borderId="5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0" fontId="0" fillId="0" borderId="3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5" fillId="3" borderId="7" xfId="0" applyNumberFormat="1" applyFont="1" applyFill="1" applyBorder="1"/>
    <x:xf numFmtId="0" fontId="6" fillId="3" borderId="10" xfId="0" applyNumberFormat="1" applyFont="1" applyFill="1" applyBorder="1"/>
    <x:xf numFmtId="0" fontId="6" fillId="3" borderId="10" xfId="0" applyNumberFormat="1" applyFont="1" applyFill="1" applyBorder="1" applyAlignment="1">
      <x:alignment horizont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7" fillId="3" borderId="12" xfId="0" applyNumberFormat="1" applyFont="1" applyFill="1" applyBorder="1"/>
    <x:xf numFmtId="0" fontId="7" fillId="3" borderId="12" xfId="0" applyNumberFormat="1" applyFont="1" applyFill="1" applyBorder="1" applyAlignment="1">
      <x:alignment horizontal="center"/>
    </x:xf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5" fillId="7" borderId="7" xfId="0" applyNumberFormat="1" applyFont="1" applyFill="1" applyBorder="1"/>
    <x:xf numFmtId="0" fontId="6" fillId="7" borderId="10" xfId="0" applyNumberFormat="1" applyFont="1" applyFill="1" applyBorder="1"/>
    <x:xf numFmtId="0" fontId="6" fillId="7" borderId="10" xfId="0" applyNumberFormat="1" applyFont="1" applyFill="1" applyBorder="1" applyAlignment="1">
      <x:alignment horizontal="center"/>
    </x:xf>
    <x:xf numFmtId="0" fontId="6" fillId="7" borderId="10" xfId="0" applyNumberFormat="1" applyFont="1" applyFill="1" applyBorder="1" applyAlignment="1">
      <x:alignment horizontal="center" vertical="center"/>
    </x:xf>
    <x:xf numFmtId="0" fontId="7" fillId="7" borderId="12" xfId="0" applyNumberFormat="1" applyFont="1" applyFill="1" applyBorder="1"/>
    <x:xf numFmtId="0" fontId="7" fillId="7" borderId="12" xfId="0" applyNumberFormat="1" applyFont="1" applyFill="1" applyBorder="1" applyAlignment="1">
      <x:alignment horizontal="center"/>
    </x:xf>
    <x:xf numFmtId="202" fontId="6" fillId="3" borderId="10" xfId="0" applyNumberFormat="1" applyFont="1" applyFill="1" applyBorder="1" applyAlignment="1">
      <x:alignment horizontal="center" vertical="center"/>
    </x:xf>
    <x:xf numFmtId="203" fontId="6" fillId="3" borderId="10" xfId="0" applyNumberFormat="1" applyFont="1" applyFill="1" applyBorder="1" applyAlignment="1">
      <x:alignment horizontal="center" vertical="center"/>
    </x:xf>
    <x:xf numFmtId="205" fontId="6" fillId="7" borderId="1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4"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7D6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7D6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7D6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  <x:dxf>
      <x:font>
        <x:b/>
        <x:color rgb="FFDC2626"/>
      </x:font>
      <x:fill>
        <x:patternFill>
          <x:bgColor rgb="FFFDECEC"/>
        </x:patternFill>
      </x:fill>
    </x:dxf>
    <x:dxf>
      <x:font>
        <x:b/>
        <x:color rgb="FF92400E"/>
      </x:font>
      <x:fill>
        <x:patternFill>
          <x:bgColor rgb="FFFFF7D6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16A34A"/>
      </x:font>
      <x:fill>
        <x:patternFill>
          <x:bgColor rgb="FFEAF8EF"/>
        </x:patternFill>
      </x:fill>
    </x:dxf>
    <x:dxf>
      <x:font>
        <x:b/>
        <x:color rgb="FF2563EB"/>
      </x:font>
      <x:fill>
        <x:patternFill>
          <x:bgColor rgb="FFEAF2FF"/>
        </x:patternFill>
      </x:fill>
    </x:dxf>
    <x:dxf>
      <x:font>
        <x:color rgb="FF2563EB"/>
      </x:font>
      <x:fill>
        <x:patternFill>
          <x:bgColor rgb="FFEAF2FF"/>
        </x:patternFill>
      </x:fill>
    </x:dxf>
    <x:dxf>
      <x:font>
        <x:color rgb="FF92400E"/>
      </x:font>
      <x:fill>
        <x:patternFill>
          <x:bgColor rgb="FFFFF7D6"/>
        </x:patternFill>
      </x:fill>
    </x:dxf>
    <x:dxf>
      <x:font>
        <x:color rgb="FFDC2626"/>
      </x:font>
      <x:fill>
        <x:patternFill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30dff39cd47fc" /><Relationship Type="http://schemas.openxmlformats.org/officeDocument/2006/relationships/theme" Target="/xl/theme/theme1.xml" Id="Rb986359d7cf149ec" /><Relationship Type="http://schemas.openxmlformats.org/officeDocument/2006/relationships/sharedStrings" Target="/xl/sharedStrings.xml" Id="Red6fcb6aabb14ca0" /><Relationship Type="http://schemas.openxmlformats.org/officeDocument/2006/relationships/worksheet" Target="/xl/worksheets/sheet1.xml" Id="R8be13a41aa2d4d8d" /><Relationship Type="http://schemas.openxmlformats.org/officeDocument/2006/relationships/worksheet" Target="/xl/worksheets/sheet2.xml" Id="Re4d4dbf197224f56" /><Relationship Type="http://schemas.openxmlformats.org/officeDocument/2006/relationships/worksheet" Target="/xl/worksheets/sheet3.xml" Id="R0e758ced63074969" /><Relationship Type="http://schemas.openxmlformats.org/officeDocument/2006/relationships/worksheet" Target="/xl/worksheets/sheet4.xml" Id="R12bbee83d2a34a17" /><Relationship Type="http://schemas.openxmlformats.org/officeDocument/2006/relationships/worksheet" Target="/xl/worksheets/sheet5.xml" Id="Rf31ce42ef383402e" /><Relationship Type="http://schemas.openxmlformats.org/officeDocument/2006/relationships/worksheet" Target="/xl/worksheets/sheet6.xml" Id="Rf7d8a1781d25436f" /><Relationship Type="http://schemas.openxmlformats.org/officeDocument/2006/relationships/worksheet" Target="/xl/worksheets/sheet7.xml" Id="R1de491401ba2460b" /><Relationship Type="http://schemas.openxmlformats.org/officeDocument/2006/relationships/worksheet" Target="/xl/worksheets/sheet8.xml" Id="R6481acf717f54eac" /><Relationship Type="http://schemas.openxmlformats.org/officeDocument/2006/relationships/worksheet" Target="/xl/worksheets/sheet9.xml" Id="R84f5a865734b4ff6" /><Relationship Type="http://schemas.openxmlformats.org/officeDocument/2006/relationships/worksheet" Target="/xl/worksheets/sheet10.xml" Id="R605c0f27eb194139" /><Relationship Type="http://schemas.openxmlformats.org/officeDocument/2006/relationships/worksheet" Target="/xl/worksheets/sheet11.xml" Id="R44386797d3b94db8" /><Relationship Type="http://schemas.openxmlformats.org/officeDocument/2006/relationships/worksheet" Target="/xl/worksheets/sheet12.xml" Id="R0a9e1c4722f44bf2" /><Relationship Type="http://schemas.microsoft.com/office/2017/10/relationships/person" Target="/xl/persons/person.xml" Id="R7d96713b49c042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2fb91fd1624706" /><Relationship Type="http://schemas.openxmlformats.org/officeDocument/2006/relationships/chart" Target="/xl/drawings/charts/chart2.xml" Id="Re760c3fb5bb74d2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Organic Positions (Lower Is Better)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Current Rank</c:v>
          </c:tx>
          <c:cat>
            <c:strRef>
              <c:f>'Dashboard'!$A$24:$A$31</c:f>
              <c:strCache>
                <c:ptCount val="0"/>
              </c:strCache>
            </c:strRef>
          </c:cat>
          <c:val>
            <c:numRef>
              <c:f>'Dashboard'!$B$24:$B$31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6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Tracked Keywords by Funnel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Keyword Count</c:v>
          </c:tx>
          <c:cat>
            <c:strRef>
              <c:f>'Dashboard'!$A$34:$A$37</c:f>
              <c:strCache>
                <c:ptCount val="0"/>
              </c:strCache>
            </c:strRef>
          </c:cat>
          <c:val>
            <c:numRef>
              <c:f>'Dashboard'!$B$34:$B$37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13</xdr:row>
      <xdr:rowOff>0</xdr:rowOff>
    </xdr:from>
    <xdr:to>
      <xdr:col>18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2fb91fd1624706"/>
        </a:graphicData>
      </a:graphic>
    </xdr:graphicFrame>
    <xdr:clientData/>
  </xdr:twoCellAnchor>
  <xdr:twoCellAnchor>
    <xdr:from>
      <xdr:col>5</xdr:col>
      <xdr:colOff>0</xdr:colOff>
      <xdr:row>32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60c3fb5bb74d2e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Haseebur Rahman Mohammad" id="{324C24E8-E49F-42BB-B0A4-899D81CA32CF}"/>
</xltc:personList>
</file>

<file path=xl/tables/table1.xml><?xml version="1.0" encoding="utf-8"?>
<x:table xmlns:x="http://schemas.openxmlformats.org/spreadsheetml/2006/main" id="1" name="WeeklyKPITable" displayName="WeeklyKPITable" ref="A4:N17" headerRowCount="1" totalsRowCount="0" totalsRowShown="0">
  <x:autoFilter ref="A4:N17"/>
  <x:tableColumns count="14">
    <x:tableColumn id="1" name="Week Ending"/>
    <x:tableColumn id="2" name="GSC Clicks"/>
    <x:tableColumn id="3" name="GSC Impressions"/>
    <x:tableColumn id="4" name="CTR"/>
    <x:tableColumn id="5" name="Avg Position"/>
    <x:tableColumn id="6" name="Organic Sessions"/>
    <x:tableColumn id="7" name="Organic Leads"/>
    <x:tableColumn id="8" name="Conversion Rate"/>
    <x:tableColumn id="9" name="Branded Impressions"/>
    <x:tableColumn id="10" name="New Relevant Ref. Domains"/>
    <x:tableColumn id="11" name="AI Mentions"/>
    <x:tableColumn id="12" name="Published Assets"/>
    <x:tableColumn id="13" name="Primary Change"/>
    <x:tableColumn id="14" name="Notes / Data Qualit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eywordMasterTable" displayName="KeywordMasterTable" ref="A4:T35" headerRowCount="1" totalsRowCount="0" totalsRowShown="0">
  <x:autoFilter ref="A4:T35"/>
  <x:tableColumns count="20">
    <x:tableColumn id="1" name="ID"/>
    <x:tableColumn id="2" name="Topic Cluster"/>
    <x:tableColumn id="3" name="Keyword"/>
    <x:tableColumn id="4" name="Location"/>
    <x:tableColumn id="5" name="Funnel"/>
    <x:tableColumn id="6" name="Intent"/>
    <x:tableColumn id="7" name="Demand Source"/>
    <x:tableColumn id="8" name="Demand Band"/>
    <x:tableColumn id="9" name="Organic KD"/>
    <x:tableColumn id="10" name="Paid Competition"/>
    <x:tableColumn id="11" name="Business Potential (0-3)"/>
    <x:tableColumn id="12" name="Current Rank"/>
    <x:tableColumn id="13" name="Target Rank"/>
    <x:tableColumn id="14" name="Status"/>
    <x:tableColumn id="15" name="Target Page"/>
    <x:tableColumn id="16" name="Evidence Confidence"/>
    <x:tableColumn id="17" name="Priority Score"/>
    <x:tableColumn id="18" name="Recommended Action"/>
    <x:tableColumn id="19" name="Source URL"/>
    <x:tableColumn id="20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nkTrackerTable" displayName="RankTrackerTable" ref="A4:P16" headerRowCount="1" totalsRowCount="0" totalsRowShown="0">
  <x:autoFilter ref="A4:P16"/>
  <x:tableColumns count="16">
    <x:tableColumn id="1" name="Check Date"/>
    <x:tableColumn id="2" name="Engine"/>
    <x:tableColumn id="3" name="Country / City"/>
    <x:tableColumn id="4" name="Device"/>
    <x:tableColumn id="5" name="Depersonalised"/>
    <x:tableColumn id="6" name="Keyword"/>
    <x:tableColumn id="7" name="Target Page"/>
    <x:tableColumn id="8" name="Rank"/>
    <x:tableColumn id="9" name="Previous Rank"/>
    <x:tableColumn id="10" name="Change"/>
    <x:tableColumn id="11" name="SERP Page"/>
    <x:tableColumn id="12" name="Result Status"/>
    <x:tableColumn id="13" name="SERP Features"/>
    <x:tableColumn id="14" name="Observed URL"/>
    <x:tableColumn id="15" name="Method Notes"/>
    <x:tableColumn id="16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geMapTable" displayName="PageMapTable" ref="A4:Q17" headerRowCount="1" totalsRowCount="0" totalsRowShown="0">
  <x:autoFilter ref="A4:Q17"/>
  <x:tableColumns count="17">
    <x:tableColumn id="1" name="Page ID"/>
    <x:tableColumn id="2" name="URL / Proposed Path"/>
    <x:tableColumn id="3" name="Page Type"/>
    <x:tableColumn id="4" name="Geo"/>
    <x:tableColumn id="5" name="Funnel"/>
    <x:tableColumn id="6" name="Primary Keyword / Intent"/>
    <x:tableColumn id="7" name="Supporting Cluster"/>
    <x:tableColumn id="8" name="Current Clicks"/>
    <x:tableColumn id="9" name="Impressions"/>
    <x:tableColumn id="10" name="CTR"/>
    <x:tableColumn id="11" name="Avg Position"/>
    <x:tableColumn id="12" name="Index Status"/>
    <x:tableColumn id="13" name="Change Guardrail"/>
    <x:tableColumn id="14" name="Next Decision"/>
    <x:tableColumn id="15" name="Owner"/>
    <x:tableColumn id="16" name="Status"/>
    <x:tableColumn id="17" name="Evidence D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ntentPipelineTable" displayName="ContentPipelineTable" ref="A4:Q15" headerRowCount="1" totalsRowCount="0" totalsRowShown="0">
  <x:autoFilter ref="A4:Q15"/>
  <x:tableColumns count="17">
    <x:tableColumn id="1" name="Content ID"/>
    <x:tableColumn id="2" name="Priority"/>
    <x:tableColumn id="3" name="Asset Type"/>
    <x:tableColumn id="4" name="Working Title"/>
    <x:tableColumn id="5" name="Target Cluster"/>
    <x:tableColumn id="6" name="Funnel"/>
    <x:tableColumn id="7" name="Audience / Geo"/>
    <x:tableColumn id="8" name="Search Intent"/>
    <x:tableColumn id="9" name="Required Original Evidence"/>
    <x:tableColumn id="10" name="Primary CTA"/>
    <x:tableColumn id="11" name="Supports Page"/>
    <x:tableColumn id="12" name="Earliest Review"/>
    <x:tableColumn id="13" name="Effort"/>
    <x:tableColumn id="14" name="Status"/>
    <x:tableColumn id="15" name="Success Metric"/>
    <x:tableColumn id="16" name="Decision Rule"/>
    <x:tableColumn id="17" name="Own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cklinkCRMTable" displayName="BacklinkCRMTable" ref="A4:R17" headerRowCount="1" totalsRowCount="0" totalsRowShown="0">
  <x:autoFilter ref="A4:R17"/>
  <x:tableColumns count="18">
    <x:tableColumn id="1" name="Opportunity ID"/>
    <x:tableColumn id="2" name="Priority"/>
    <x:tableColumn id="3" name="Prospect / Asset"/>
    <x:tableColumn id="4" name="Opportunity Type"/>
    <x:tableColumn id="5" name="Relevance"/>
    <x:tableColumn id="6" name="Target URL"/>
    <x:tableColumn id="7" name="Suggested Anchor"/>
    <x:tableColumn id="8" name="Contact / Submission URL"/>
    <x:tableColumn id="9" name="Owner"/>
    <x:tableColumn id="10" name="Status"/>
    <x:tableColumn id="11" name="First Contact"/>
    <x:tableColumn id="12" name="Follow-up"/>
    <x:tableColumn id="13" name="Live URL"/>
    <x:tableColumn id="14" name="Link Attribute"/>
    <x:tableColumn id="15" name="Logged-out Verified"/>
    <x:tableColumn id="16" name="Referral Sessions"/>
    <x:tableColumn id="17" name="Qualified Leads"/>
    <x:tableColumn id="18" name="Notes / Next Step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VisibilityTable" displayName="AIVisibilityTable" ref="A4:N11" headerRowCount="1" totalsRowCount="0" totalsRowShown="0">
  <x:autoFilter ref="A4:N11"/>
  <x:tableColumns count="14">
    <x:tableColumn id="1" name="Check Date"/>
    <x:tableColumn id="2" name="Platform"/>
    <x:tableColumn id="3" name="Prompt"/>
    <x:tableColumn id="4" name="Geo / Session"/>
    <x:tableColumn id="5" name="Brand Mentioned"/>
    <x:tableColumn id="6" name="Citation / Link"/>
    <x:tableColumn id="7" name="Approx. Placement"/>
    <x:tableColumn id="8" name="Named Competitors"/>
    <x:tableColumn id="9" name="What AI Said / Evidence"/>
    <x:tableColumn id="10" name="Observed Gap"/>
    <x:tableColumn id="11" name="Next Action"/>
    <x:tableColumn id="12" name="Status"/>
    <x:tableColumn id="13" name="Source / Screenshot"/>
    <x:tableColumn id="14" name="Own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mpetitorTable" displayName="CompetitorTable" ref="A4:P10" headerRowCount="1" totalsRowCount="0" totalsRowShown="0">
  <x:autoFilter ref="A4:P10"/>
  <x:tableColumns count="16">
    <x:tableColumn id="1" name="Competitor"/>
    <x:tableColumn id="2" name="Primary Market"/>
    <x:tableColumn id="3" name="Website"/>
    <x:tableColumn id="4" name="Observed Strength"/>
    <x:tableColumn id="5" name="Observed Weakness / Risk"/>
    <x:tableColumn id="6" name="DR"/>
    <x:tableColumn id="7" name="Backlinks"/>
    <x:tableColumn id="8" name="Linking Sites"/>
    <x:tableColumn id="9" name="Dofollow %"/>
    <x:tableColumn id="10" name="Reviews / Entity Evidence"/>
    <x:tableColumn id="11" name="AI / SERP Presence"/>
    <x:tableColumn id="12" name="Threat Level"/>
    <x:tableColumn id="13" name="Counter-Strategy"/>
    <x:tableColumn id="14" name="Last Checked"/>
    <x:tableColumn id="15" name="Metric Source"/>
    <x:tableColumn id="16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ExperimentTable" displayName="ExperimentTable" ref="A4:Q10" headerRowCount="1" totalsRowCount="0" totalsRowShown="0">
  <x:autoFilter ref="A4:Q10"/>
  <x:tableColumns count="17">
    <x:tableColumn id="1" name="Experiment ID"/>
    <x:tableColumn id="2" name="Priority"/>
    <x:tableColumn id="3" name="Hypothesis"/>
    <x:tableColumn id="4" name="Asset / Scope"/>
    <x:tableColumn id="5" name="Baseline"/>
    <x:tableColumn id="6" name="Primary Metric"/>
    <x:tableColumn id="7" name="Secondary Metric"/>
    <x:tableColumn id="8" name="Target / Threshold"/>
    <x:tableColumn id="9" name="Start Date"/>
    <x:tableColumn id="10" name="Review Date"/>
    <x:tableColumn id="11" name="Status"/>
    <x:tableColumn id="12" name="Actual Result"/>
    <x:tableColumn id="13" name="Decision"/>
    <x:tableColumn id="14" name="Confidence"/>
    <x:tableColumn id="15" name="Owner"/>
    <x:tableColumn id="16" name="Evidence Link"/>
    <x:tableColumn id="17" name="Learni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sTable" displayName="SourcesTable" ref="A4:G24" headerRowCount="1" totalsRowCount="0" totalsRowShown="0">
  <x:autoFilter ref="A4:G24"/>
  <x:tableColumns count="7">
    <x:tableColumn id="1" name="Source ID"/>
    <x:tableColumn id="2" name="Category"/>
    <x:tableColumn id="3" name="Source / Fact"/>
    <x:tableColumn id="4" name="URL"/>
    <x:tableColumn id="5" name="Reviewed"/>
    <x:tableColumn id="6" name="Use in Workbook"/>
    <x:tableColumn id="7" name="Reliability / Cave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45c20f209c4f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120c02363724b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0bfc12786de4b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6a82184e56a4d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110dbebefc043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1ffb0d260424f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1c707fc946741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46beee194464f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c82be987b92f480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c514ab15a046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3cf5c737457943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8" hidden="0" customWidth="1"/>
    <x:col min="3" max="3" width="30" hidden="0" customWidth="1"/>
    <x:col min="4" max="4" width="38" hidden="0" customWidth="1"/>
    <x:col min="5" max="5" width="38" hidden="0" customWidth="1"/>
    <x:col min="6" max="6" width="28" hidden="0" customWidth="1"/>
    <x:col min="7" max="7" width="16" hidden="0" customWidth="1"/>
    <x:col min="8" max="8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 ht="34" customHeight="1">
      <x:c r="A1" s="3" t="str">
        <x:v>Growth Masala SEO Executive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Primary objective: website-development enquiries from Mahabubnagar and Hyderabad • last evidence review 2026-08-24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115" t="str">
        <x:v>GSC Clicks</x:v>
      </x:c>
      <x:c r="B4" s="108"/>
      <x:c r="C4" s="109"/>
      <x:c r="E4" s="115" t="str">
        <x:v>GSC Impressions</x:v>
      </x:c>
      <x:c r="F4" s="108"/>
      <x:c r="G4" s="109"/>
      <x:c r="I4" s="115" t="str">
        <x:v>CTR</x:v>
      </x:c>
      <x:c r="J4" s="108"/>
      <x:c r="K4" s="109"/>
      <x:c r="M4" s="115" t="str">
        <x:v>Avg Position</x:v>
      </x:c>
      <x:c r="N4" s="108"/>
      <x:c r="O4" s="109"/>
    </x:row>
    <x:row r="5">
      <x:c r="A5" s="118" t="n">
        <x:v>45</x:v>
      </x:c>
      <x:c r="B5" s="4"/>
      <x:c r="C5" s="111"/>
      <x:c r="E5" s="118" t="n">
        <x:v>786</x:v>
      </x:c>
      <x:c r="F5" s="4"/>
      <x:c r="G5" s="111"/>
      <x:c r="I5" s="135" t="n">
        <x:v>0.05725190839694656</x:v>
      </x:c>
      <x:c r="J5" s="4"/>
      <x:c r="K5" s="111"/>
      <x:c r="M5" s="136" t="n">
        <x:v>13.3</x:v>
      </x:c>
      <x:c r="N5" s="4"/>
      <x:c r="O5" s="111"/>
    </x:row>
    <x:row r="6">
      <x:c r="A6" s="110"/>
      <x:c r="B6" s="4"/>
      <x:c r="C6" s="111"/>
      <x:c r="E6" s="110"/>
      <x:c r="F6" s="4"/>
      <x:c r="G6" s="111"/>
      <x:c r="I6" s="110"/>
      <x:c r="J6" s="4"/>
      <x:c r="K6" s="111"/>
      <x:c r="M6" s="110"/>
      <x:c r="N6" s="4"/>
      <x:c r="O6" s="111"/>
    </x:row>
    <x:row r="7">
      <x:c r="A7" s="120" t="str">
        <x:v>3-month current through Sep 22</x:v>
      </x:c>
      <x:c r="B7" s="113"/>
      <x:c r="C7" s="114"/>
      <x:c r="E7" s="120" t="str">
        <x:v>3-month current through Sep 22</x:v>
      </x:c>
      <x:c r="F7" s="113"/>
      <x:c r="G7" s="114"/>
      <x:c r="I7" s="120" t="str">
        <x:v>Clicks ÷ impressions</x:v>
      </x:c>
      <x:c r="J7" s="113"/>
      <x:c r="K7" s="114"/>
      <x:c r="M7" s="120" t="str">
        <x:v>Property average</x:v>
      </x:c>
      <x:c r="N7" s="113"/>
      <x:c r="O7" s="114"/>
    </x:row>
    <x:row r="9">
      <x:c r="A9" s="129" t="str">
        <x:v>Tracked Keywords</x:v>
      </x:c>
      <x:c r="B9" s="122"/>
      <x:c r="C9" s="123"/>
      <x:c r="E9" s="129" t="str">
        <x:v>Page-One Keywords</x:v>
      </x:c>
      <x:c r="F9" s="122"/>
      <x:c r="G9" s="123"/>
      <x:c r="I9" s="129" t="str">
        <x:v>Top-3 Keywords</x:v>
      </x:c>
      <x:c r="J9" s="122"/>
      <x:c r="K9" s="123"/>
      <x:c r="M9" s="129" t="str">
        <x:v>AI Mention Rate</x:v>
      </x:c>
      <x:c r="N9" s="122"/>
      <x:c r="O9" s="123"/>
    </x:row>
    <x:row r="10">
      <x:c r="A10" s="132" t="n">
        <x:f>COUNTA('Keyword Master'!C5:C64)</x:f>
        <x:v>31</x:v>
      </x:c>
      <x:c r="B10" s="26"/>
      <x:c r="C10" s="125"/>
      <x:c r="E10" s="132" t="n">
        <x:f>COUNTIFS('Keyword Master'!L5:L64,"&gt;0",'Keyword Master'!L5:L64,"&lt;=10")</x:f>
        <x:v>7</x:v>
      </x:c>
      <x:c r="F10" s="26"/>
      <x:c r="G10" s="125"/>
      <x:c r="I10" s="132" t="n">
        <x:f>COUNTIFS('Keyword Master'!L5:L64,"&gt;0",'Keyword Master'!L5:L64,"&lt;=3")</x:f>
        <x:v>5</x:v>
      </x:c>
      <x:c r="J10" s="26"/>
      <x:c r="K10" s="125"/>
      <x:c r="M10" s="137" t="n">
        <x:f>IFERROR(COUNTIF('AI Visibility'!E5:E44,"Yes")/COUNTA('AI Visibility'!C5:C44),0)</x:f>
        <x:v>0.5714285714285714</x:v>
      </x:c>
      <x:c r="N10" s="26"/>
      <x:c r="O10" s="125"/>
    </x:row>
    <x:row r="11">
      <x:c r="A11" s="124"/>
      <x:c r="B11" s="26"/>
      <x:c r="C11" s="125"/>
      <x:c r="E11" s="124"/>
      <x:c r="F11" s="26"/>
      <x:c r="G11" s="125"/>
      <x:c r="I11" s="124"/>
      <x:c r="J11" s="26"/>
      <x:c r="K11" s="125"/>
      <x:c r="M11" s="124"/>
      <x:c r="N11" s="26"/>
      <x:c r="O11" s="125"/>
    </x:row>
    <x:row r="12">
      <x:c r="A12" s="134" t="str">
        <x:v>Master keyword set</x:v>
      </x:c>
      <x:c r="B12" s="127"/>
      <x:c r="C12" s="128"/>
      <x:c r="E12" s="134" t="str">
        <x:v>Verified current ranks</x:v>
      </x:c>
      <x:c r="F12" s="127"/>
      <x:c r="G12" s="128"/>
      <x:c r="I12" s="134" t="str">
        <x:v>Verified current ranks</x:v>
      </x:c>
      <x:c r="J12" s="127"/>
      <x:c r="K12" s="128"/>
      <x:c r="M12" s="134" t="str">
        <x:v>Fixed prompt baseline</x:v>
      </x:c>
      <x:c r="N12" s="127"/>
      <x:c r="O12" s="128"/>
    </x:row>
    <x:row r="14" ht="30" customHeight="1">
      <x:c r="A14" s="14" t="str">
        <x:v>Priority</x:v>
      </x:c>
      <x:c r="B14" s="21" t="str">
        <x:v>Opportunity</x:v>
      </x:c>
      <x:c r="C14" s="21" t="str">
        <x:v>Current Evidence</x:v>
      </x:c>
      <x:c r="D14" s="21" t="str">
        <x:v>Why Now</x:v>
      </x:c>
      <x:c r="E14" s="21" t="str">
        <x:v>Next Action</x:v>
      </x:c>
      <x:c r="F14" s="21" t="str">
        <x:v>Success Metric</x:v>
      </x:c>
      <x:c r="G14" s="21" t="str">
        <x:v>Decision Date</x:v>
      </x:c>
      <x:c r="H14" s="15" t="str">
        <x:v>Status</x:v>
      </x:c>
    </x:row>
    <x:row r="15">
      <x:c r="A15" s="28" t="str">
        <x:v>P0</x:v>
      </x:c>
      <x:c r="B15" s="28" t="str">
        <x:v>Website development Mahabubnagar</x:v>
      </x:c>
      <x:c r="C15" s="28" t="str">
        <x:v>Observed rank ~15</x:v>
      </x:c>
      <x:c r="D15" s="28" t="str">
        <x:v>Ahrefs low-hanging range 4–15</x:v>
      </x:c>
      <x:c r="E15" s="28" t="str">
        <x:v>Earn relevant authority; observe before on-page changes</x:v>
      </x:c>
      <x:c r="F15" s="28" t="str">
        <x:v>Rank &lt;=10 + relevant impressions</x:v>
      </x:c>
      <x:c r="G15" s="104" t="n">
        <x:v>46285</x:v>
      </x:c>
      <x:c r="H15" s="28" t="str">
        <x:v>Monitoring</x:v>
      </x:c>
    </x:row>
    <x:row r="16">
      <x:c r="A16" s="30" t="str">
        <x:v>P0</x:v>
      </x:c>
      <x:c r="B16" s="30" t="str">
        <x:v>Hyderabad client corroboration</x:v>
      </x:c>
      <x:c r="C16" s="30" t="str">
        <x:v>No verified client link in CRM</x:v>
      </x:c>
      <x:c r="D16" s="30" t="str">
        <x:v>AI and competitor gap is independent proof</x:v>
      </x:c>
      <x:c r="E16" s="30" t="str">
        <x:v>Request one factual project acknowledgement</x:v>
      </x:c>
      <x:c r="F16" s="30" t="str">
        <x:v>1 live verified relevant link</x:v>
      </x:c>
      <x:c r="G16" s="105" t="n">
        <x:v>46285</x:v>
      </x:c>
      <x:c r="H16" s="30" t="str">
        <x:v>Planned</x:v>
      </x:c>
    </x:row>
    <x:row r="17">
      <x:c r="A17" s="30" t="str">
        <x:v>P1</x:v>
      </x:c>
      <x:c r="B17" s="30" t="str">
        <x:v>Hyderabad website-development cluster</x:v>
      </x:c>
      <x:c r="C17" s="30" t="str">
        <x:v>Target page: 3 impressions, 0 clicks (28 days)</x:v>
      </x:c>
      <x:c r="D17" s="30" t="str">
        <x:v>Broader reach, but visibility and CTR remain early</x:v>
      </x:c>
      <x:c r="E17" s="30" t="str">
        <x:v>Keep one commercial page; monitor GSC and Bing indexing; add relevant proof</x:v>
      </x:c>
      <x:c r="F17" s="30" t="str">
        <x:v>Sustained Hyderabad impressions + enquiry</x:v>
      </x:c>
      <x:c r="G17" s="105" t="n">
        <x:v>46310</x:v>
      </x:c>
      <x:c r="H17" s="30" t="str">
        <x:v>Monitoring</x:v>
      </x:c>
    </x:row>
    <x:row r="18">
      <x:c r="A18" s="30" t="str">
        <x:v>P1</x:v>
      </x:c>
      <x:c r="B18" s="30" t="str">
        <x:v>Website cost calculator validation</x:v>
      </x:c>
      <x:c r="C18" s="30" t="str">
        <x:v>Product-led SEO hypothesis</x:v>
      </x:c>
      <x:c r="D18" s="30" t="str">
        <x:v>Potential India-wide scalable demand</x:v>
      </x:c>
      <x:c r="E18" s="30" t="str">
        <x:v>Research SERP, volume and usefulness before build</x:v>
      </x:c>
      <x:c r="F18" s="30" t="str">
        <x:v>Validated gap and build brief</x:v>
      </x:c>
      <x:c r="G18" s="105" t="n">
        <x:v>46292</x:v>
      </x:c>
      <x:c r="H18" s="30" t="str">
        <x:v>On Hold</x:v>
      </x:c>
    </x:row>
    <x:row r="19">
      <x:c r="A19" s="30" t="str">
        <x:v>P2</x:v>
      </x:c>
      <x:c r="B19" s="30" t="str">
        <x:v>AI visibility corroboration</x:v>
      </x:c>
      <x:c r="C19" s="30" t="str">
        <x:v>4 of 7 reviewed prompts mentioned brand</x:v>
      </x:c>
      <x:c r="D19" s="30" t="str">
        <x:v>Website/SEO recommendations remain inconsistent</x:v>
      </x:c>
      <x:c r="E19" s="30" t="str">
        <x:v>Repeat fixed prompts monthly and earn third-party evidence</x:v>
      </x:c>
      <x:c r="F19" s="30" t="str">
        <x:v>Mention rate + citations</x:v>
      </x:c>
      <x:c r="G19" s="105" t="n">
        <x:v>46285</x:v>
      </x:c>
      <x:c r="H19" s="30" t="str">
        <x:v>Monitoring</x:v>
      </x:c>
    </x:row>
    <x:row r="20">
      <x:c r="A20" s="33" t="str">
        <x:v>P2</x:v>
      </x:c>
      <x:c r="B20" s="33" t="str">
        <x:v>Publishing distribution</x:v>
      </x:c>
      <x:c r="C20" s="33" t="str">
        <x:v>Medium article published Sep 24; GSC↔GA4 linked</x:v>
      </x:c>
      <x:c r="D20" s="33" t="str">
        <x:v>Track discovery and qualified referrals; no authority credit without verification</x:v>
      </x:c>
      <x:c r="E20" s="33" t="str">
        <x:v>Log public URL and revisit search/referral evidence</x:v>
      </x:c>
      <x:c r="F20" s="33" t="str">
        <x:v>Referral or branded lift</x:v>
      </x:c>
      <x:c r="G20" s="106" t="n">
        <x:v>46285</x:v>
      </x:c>
      <x:c r="H20" s="33" t="str">
        <x:v>Monitoring</x:v>
      </x:c>
    </x:row>
    <x:row r="21">
      <x:c r="A21" s="29"/>
      <x:c r="B21" s="29"/>
      <x:c r="C21" s="29"/>
      <x:c r="D21" s="29"/>
      <x:c r="E21" s="29"/>
      <x:c r="F21" s="29"/>
      <x:c r="G21" s="29"/>
      <x:c r="H21" s="29"/>
    </x:row>
    <x:row r="22">
      <x:c r="A22" s="29"/>
      <x:c r="B22" s="29"/>
      <x:c r="C22" s="29"/>
      <x:c r="D22" s="29"/>
      <x:c r="E22" s="29"/>
      <x:c r="F22" s="29"/>
      <x:c r="G22" s="29"/>
      <x:c r="H22" s="29"/>
    </x:row>
    <x:row r="23" ht="30" customHeight="1">
      <x:c r="A23" s="14" t="str">
        <x:v>Tracked Keyword</x:v>
      </x:c>
      <x:c r="B23" s="15" t="str">
        <x:v>Current Rank</x:v>
      </x:c>
      <x:c r="C23" s="29"/>
      <x:c r="D23" s="29"/>
      <x:c r="E23" s="29"/>
      <x:c r="F23" s="29"/>
      <x:c r="G23" s="29"/>
      <x:c r="H23" s="29"/>
    </x:row>
    <x:row r="24">
      <x:c r="A24" s="29" t="str">
        <x:v>Meta ads MB</x:v>
      </x:c>
      <x:c r="B24" s="29" t="n">
        <x:f>'Keyword Master'!L9</x:f>
        <x:v>1</x:v>
      </x:c>
      <x:c r="C24" s="29"/>
      <x:c r="D24" s="29"/>
      <x:c r="E24" s="29"/>
      <x:c r="F24" s="29"/>
      <x:c r="G24" s="29"/>
      <x:c r="H24" s="29"/>
    </x:row>
    <x:row r="25">
      <x:c r="A25" s="29" t="str">
        <x:v>Website cost MB</x:v>
      </x:c>
      <x:c r="B25" s="29" t="n">
        <x:f>'Keyword Master'!L10</x:f>
        <x:v>2</x:v>
      </x:c>
      <x:c r="C25" s="29"/>
      <x:c r="D25" s="29"/>
      <x:c r="E25" s="29"/>
      <x:c r="F25" s="29"/>
      <x:c r="G25" s="29"/>
      <x:c r="H25" s="29"/>
    </x:row>
    <x:row r="26">
      <x:c r="A26" s="29" t="str">
        <x:v>Agency Jadcherla</x:v>
      </x:c>
      <x:c r="B26" s="29" t="n">
        <x:f>'Keyword Master'!L11</x:f>
        <x:v>2</x:v>
      </x:c>
      <x:c r="C26" s="29"/>
      <x:c r="D26" s="29"/>
      <x:c r="E26" s="29"/>
      <x:c r="F26" s="29"/>
      <x:c r="G26" s="29"/>
      <x:c r="H26" s="29"/>
    </x:row>
    <x:row r="27">
      <x:c r="A27" s="29" t="str">
        <x:v>Social MB</x:v>
      </x:c>
      <x:c r="B27" s="29" t="n">
        <x:f>'Keyword Master'!L8</x:f>
        <x:v>3</x:v>
      </x:c>
      <x:c r="C27" s="29"/>
      <x:c r="D27" s="29"/>
      <x:c r="E27" s="29"/>
      <x:c r="F27" s="29"/>
      <x:c r="G27" s="29"/>
      <x:c r="H27" s="29"/>
    </x:row>
    <x:row r="28">
      <x:c r="A28" s="29" t="str">
        <x:v>Agency Shadnagar</x:v>
      </x:c>
      <x:c r="B28" s="29" t="n">
        <x:f>'Keyword Master'!L12</x:f>
        <x:v>3</x:v>
      </x:c>
      <x:c r="C28" s="29"/>
      <x:c r="D28" s="29"/>
      <x:c r="E28" s="29"/>
      <x:c r="F28" s="29"/>
      <x:c r="G28" s="29"/>
      <x:c r="H28" s="29"/>
    </x:row>
    <x:row r="29">
      <x:c r="A29" s="29" t="str">
        <x:v>Agency MB</x:v>
      </x:c>
      <x:c r="B29" s="29" t="n">
        <x:f>'Keyword Master'!L6</x:f>
        <x:v>4</x:v>
      </x:c>
      <x:c r="C29" s="29"/>
      <x:c r="D29" s="29"/>
      <x:c r="E29" s="29"/>
      <x:c r="F29" s="29"/>
      <x:c r="G29" s="29"/>
      <x:c r="H29" s="29"/>
    </x:row>
    <x:row r="30">
      <x:c r="A30" s="29" t="str">
        <x:v>SEO MB</x:v>
      </x:c>
      <x:c r="B30" s="29" t="n">
        <x:f>'Keyword Master'!L7</x:f>
        <x:v>8</x:v>
      </x:c>
      <x:c r="C30" s="29"/>
      <x:c r="D30" s="29"/>
      <x:c r="E30" s="29"/>
      <x:c r="F30" s="29"/>
      <x:c r="G30" s="29"/>
      <x:c r="H30" s="29"/>
    </x:row>
    <x:row r="31">
      <x:c r="A31" s="29" t="str">
        <x:v>Website dev MB</x:v>
      </x:c>
      <x:c r="B31" s="29" t="n">
        <x:f>'Keyword Master'!L5</x:f>
        <x:v>15</x:v>
      </x:c>
      <x:c r="C31" s="29"/>
      <x:c r="D31" s="29"/>
      <x:c r="E31" s="29"/>
      <x:c r="F31" s="29"/>
      <x:c r="G31" s="29"/>
      <x:c r="H31" s="29"/>
    </x:row>
    <x:row r="32">
      <x:c r="A32" s="29"/>
      <x:c r="B32" s="29"/>
      <x:c r="C32" s="29"/>
      <x:c r="D32" s="29"/>
      <x:c r="E32" s="29"/>
      <x:c r="F32" s="29"/>
      <x:c r="G32" s="29"/>
      <x:c r="H32" s="29"/>
    </x:row>
    <x:row r="33" ht="30" customHeight="1">
      <x:c r="A33" s="14" t="str">
        <x:v>Funnel</x:v>
      </x:c>
      <x:c r="B33" s="21" t="str">
        <x:v>Keyword Count</x:v>
      </x:c>
      <x:c r="C33" s="21" t="str">
        <x:v>Commercial Weight</x:v>
      </x:c>
      <x:c r="D33" s="15" t="str">
        <x:v>Interpretation</x:v>
      </x:c>
      <x:c r="E33" s="29"/>
      <x:c r="F33" s="29"/>
      <x:c r="G33" s="29"/>
      <x:c r="H33" s="29"/>
    </x:row>
    <x:row r="34">
      <x:c r="A34" s="29" t="str">
        <x:v>BOFU</x:v>
      </x:c>
      <x:c r="B34" s="29" t="n">
        <x:f>COUNTIF('Keyword Master'!E5:E64,A34)</x:f>
        <x:v>23</x:v>
      </x:c>
      <x:c r="C34" s="29" t="str">
        <x:v>Highest</x:v>
      </x:c>
      <x:c r="D34" s="29" t="str">
        <x:v>Service and location pages</x:v>
      </x:c>
      <x:c r="E34" s="29"/>
      <x:c r="F34" s="29"/>
      <x:c r="G34" s="29"/>
      <x:c r="H34" s="29"/>
    </x:row>
    <x:row r="35">
      <x:c r="A35" s="29" t="str">
        <x:v>MOFU</x:v>
      </x:c>
      <x:c r="B35" s="29" t="n">
        <x:f>COUNTIF('Keyword Master'!E5:E64,A35)</x:f>
        <x:v>7</x:v>
      </x:c>
      <x:c r="C35" s="29" t="str">
        <x:v>High</x:v>
      </x:c>
      <x:c r="D35" s="29" t="str">
        <x:v>Cost, comparison and vendor decisions</x:v>
      </x:c>
      <x:c r="E35" s="29"/>
      <x:c r="F35" s="29"/>
      <x:c r="G35" s="29"/>
      <x:c r="H35" s="29"/>
    </x:row>
    <x:row r="36">
      <x:c r="A36" s="29" t="str">
        <x:v>TOFU/MOFU</x:v>
      </x:c>
      <x:c r="B36" s="29" t="n">
        <x:f>COUNTIF('Keyword Master'!E5:E64,A36)</x:f>
        <x:v>1</x:v>
      </x:c>
      <x:c r="C36" s="29" t="str">
        <x:v>Medium</x:v>
      </x:c>
      <x:c r="D36" s="29" t="str">
        <x:v>Diagnostic demand that can assist sales</x:v>
      </x:c>
      <x:c r="E36" s="29"/>
      <x:c r="F36" s="29"/>
      <x:c r="G36" s="29"/>
      <x:c r="H36" s="29"/>
    </x:row>
    <x:row r="37">
      <x:c r="A37" s="29" t="str">
        <x:v>TOFU</x:v>
      </x:c>
      <x:c r="B37" s="29" t="n">
        <x:f>COUNTIF('Keyword Master'!E5:E64,A37)</x:f>
        <x:v>0</x:v>
      </x:c>
      <x:c r="C37" s="29" t="str">
        <x:v>Lowest initially</x:v>
      </x:c>
      <x:c r="D37" s="29" t="str">
        <x:v>Only evidence-led reach topics</x:v>
      </x:c>
      <x:c r="E37" s="29"/>
      <x:c r="F37" s="29"/>
      <x:c r="G37" s="29"/>
      <x:c r="H37" s="29"/>
    </x:row>
    <x:row r="38">
      <x:c r="A38" s="29"/>
      <x:c r="B38" s="29"/>
      <x:c r="C38" s="29"/>
      <x:c r="D38" s="29"/>
      <x:c r="E38" s="29"/>
      <x:c r="F38" s="29"/>
      <x:c r="G38" s="29"/>
      <x:c r="H38" s="29"/>
    </x:row>
    <x:row r="39" ht="30" customHeight="1">
      <x:c r="A39" s="14" t="str">
        <x:v>Executive interpretation</x:v>
      </x:c>
      <x:c r="B39" s="21"/>
      <x:c r="C39" s="21"/>
      <x:c r="D39" s="15"/>
      <x:c r="E39" s="29"/>
      <x:c r="F39" s="29"/>
      <x:c r="G39" s="29"/>
      <x:c r="H39" s="29"/>
    </x:row>
    <x:row r="40">
      <x:c r="A40" s="24" t="str">
        <x:v>• Fastest organic opportunity: move website development Mahabubnagar from ~15 to page one.</x:v>
      </x:c>
      <x:c r="B40" s="24"/>
      <x:c r="C40" s="24"/>
      <x:c r="D40" s="24"/>
      <x:c r="E40" s="29"/>
      <x:c r="F40" s="29"/>
      <x:c r="G40" s="29"/>
      <x:c r="H40" s="29"/>
    </x:row>
    <x:row r="41">
      <x:c r="A41" s="24" t="str">
        <x:v>• Largest credibility gap: independent client/review/entity evidence, especially for web development and SEO recommendations.</x:v>
      </x:c>
      <x:c r="B41" s="24"/>
      <x:c r="C41" s="24"/>
      <x:c r="D41" s="24"/>
      <x:c r="E41" s="29"/>
      <x:c r="F41" s="29"/>
      <x:c r="G41" s="29"/>
      <x:c r="H41" s="29"/>
    </x:row>
    <x:row r="42">
      <x:c r="A42" s="24" t="str">
        <x:v>• New Hyderabad signal: ‘website designer hyderabad’ surfaced in GSC; Growth Masala was not visible on the reviewed first page.</x:v>
      </x:c>
      <x:c r="B42" s="24"/>
      <x:c r="C42" s="24"/>
      <x:c r="D42" s="24"/>
      <x:c r="E42" s="29"/>
      <x:c r="F42" s="29"/>
      <x:c r="G42" s="29"/>
      <x:c r="H42" s="29"/>
    </x:row>
    <x:row r="43">
      <x:c r="A43" s="24" t="str">
        <x:v>• Current Search Console 3-month baseline: 45 clicks, 786 impressions, 5.7% CTR, average position 13.3 through Sep 22.</x:v>
      </x:c>
      <x:c r="B43" s="24"/>
      <x:c r="C43" s="24"/>
      <x:c r="D43" s="24"/>
      <x:c r="E43" s="29"/>
      <x:c r="F43" s="29"/>
      <x:c r="G43" s="29"/>
      <x:c r="H43" s="29"/>
    </x:row>
    <x:row r="44">
      <x:c r="A44" s="24" t="str">
        <x:v>• Hyderabad page received 3 impressions and 0 clicks in the latest 28-day view; rankings are still too sparse for a stable conclusion.</x:v>
      </x:c>
      <x:c r="B44" s="24"/>
      <x:c r="C44" s="24"/>
      <x:c r="D44" s="24"/>
      <x:c r="E44" s="29"/>
      <x:c r="F44" s="29"/>
      <x:c r="G44" s="29"/>
      <x:c r="H44" s="29"/>
    </x:row>
  </x:sheetData>
  <x:mergeCells>
    <x:mergeCell ref="A1:R1"/>
    <x:mergeCell ref="A2:R2"/>
    <x:mergeCell ref="A4:C4"/>
    <x:mergeCell ref="A5:C6"/>
    <x:mergeCell ref="A7:C7"/>
    <x:mergeCell ref="E4:G4"/>
    <x:mergeCell ref="E5:G6"/>
    <x:mergeCell ref="E7:G7"/>
    <x:mergeCell ref="I4:K4"/>
    <x:mergeCell ref="I5:K6"/>
    <x:mergeCell ref="I7:K7"/>
    <x:mergeCell ref="M4:O4"/>
    <x:mergeCell ref="M5:O6"/>
    <x:mergeCell ref="M7:O7"/>
    <x:mergeCell ref="A9:C9"/>
    <x:mergeCell ref="A10:C11"/>
    <x:mergeCell ref="A12:C12"/>
    <x:mergeCell ref="E9:G9"/>
    <x:mergeCell ref="E10:G11"/>
    <x:mergeCell ref="E12:G12"/>
    <x:mergeCell ref="I9:K9"/>
    <x:mergeCell ref="I10:K11"/>
    <x:mergeCell ref="I12:K12"/>
    <x:mergeCell ref="M9:O9"/>
    <x:mergeCell ref="M10:O11"/>
    <x:mergeCell ref="M12:O12"/>
    <x:mergeCell ref="A39:D39"/>
    <x:mergeCell ref="A40:D40"/>
    <x:mergeCell ref="A41:D41"/>
    <x:mergeCell ref="A42:D42"/>
    <x:mergeCell ref="A43:D43"/>
    <x:mergeCell ref="A44:D44"/>
  </x:mergeCells>
  <x:conditionalFormatting sqref="A15:A20">
    <x:cfRule type="containsText" dxfId="55" priority="1" operator="containsText" text="P0"/>
    <x:cfRule type="containsText" dxfId="56" priority="2" operator="containsText" text="P1"/>
    <x:cfRule type="containsText" dxfId="57" priority="3" operator="containsText" text="P2"/>
  </x:conditionalFormatting>
  <x:conditionalFormatting sqref="H15:H20">
    <x:cfRule type="containsText" dxfId="58" priority="4" operator="containsText" text="Won"/>
    <x:cfRule type="containsText" dxfId="59" priority="5" operator="containsText" text="Complete"/>
    <x:cfRule type="containsText" dxfId="60" priority="6" operator="containsText" text="In Progress"/>
    <x:cfRule type="containsText" dxfId="61" priority="7" operator="containsText" text="Monitoring"/>
    <x:cfRule type="containsText" dxfId="62" priority="8" operator="containsText" text="On Hold"/>
    <x:cfRule type="containsText" dxfId="63" priority="9" operator="containsText" text="Rejected"/>
  </x:conditionalFormatting>
  <x:dataValidations count="2">
    <x:dataValidation type="list" sqref="A15:A20">
      <x:formula1>"P0,P1,P2,P3"</x:formula1>
    </x:dataValidation>
    <x:dataValidation type="list" sqref="H15:H20">
      <x:formula1>"Not Started,Planned,In Progress,Monitoring,Won,Published,Complete,On Hold,Rejected"</x:formula1>
    </x:dataValidation>
  </x:dataValidations>
  <x:pageMargins left="0.7" right="0.7" top="0.75" bottom="0.75" header="0.3" footer="0.3"/>
  <x:drawing xmlns:r="http://schemas.openxmlformats.org/officeDocument/2006/relationships" r:id="Rd745c20f209c4fa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3" t="str">
        <x:v>Growth Masala SEO Operating System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Expert-level tracker • baseline date 2026-08-20 • website development is the primary commercial focus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4" t="str">
        <x:v>Workbook section</x:v>
      </x:c>
      <x:c r="B4" s="15" t="str">
        <x:v>How to use it</x:v>
      </x:c>
      <x:c r="D4" s="14" t="str">
        <x:v>Operating principles</x:v>
      </x:c>
      <x:c r="E4" s="21"/>
      <x:c r="F4" s="21"/>
      <x:c r="G4" s="21"/>
      <x:c r="H4" s="15"/>
    </x:row>
    <x:row r="5">
      <x:c r="A5" s="28" t="str">
        <x:v>Dashboard</x:v>
      </x:c>
      <x:c r="B5" s="28" t="str">
        <x:v>Executive view of current visibility, rankings, priority opportunities and authority progress.</x:v>
      </x:c>
      <x:c r="C5" s="29"/>
      <x:c r="D5" s="24" t="str">
        <x:v>1. Protect current page-one rankings; do not change titles weekly.</x:v>
      </x:c>
      <x:c r="E5" s="24"/>
      <x:c r="F5" s="24"/>
      <x:c r="G5" s="24"/>
      <x:c r="H5" s="24"/>
    </x:row>
    <x:row r="6">
      <x:c r="A6" s="30" t="str">
        <x:v>Weekly KPI</x:v>
      </x:c>
      <x:c r="B6" s="30" t="str">
        <x:v>Paste weekly Search Console and Analytics totals. Yellow cells are inputs; formulas calculate CTR and conversion rate.</x:v>
      </x:c>
      <x:c r="C6" s="29"/>
      <x:c r="D6" s="24" t="str">
        <x:v>2. Prioritise positions 4–15 before creating a new page.</x:v>
      </x:c>
      <x:c r="E6" s="24"/>
      <x:c r="F6" s="24"/>
      <x:c r="G6" s="24"/>
      <x:c r="H6" s="24"/>
    </x:row>
    <x:row r="7">
      <x:c r="A7" s="30" t="str">
        <x:v>Keyword Master</x:v>
      </x:c>
      <x:c r="B7" s="30" t="str">
        <x:v>Single source of truth for demand, intent, funnel stage, difficulty, target page and prioritisation.</x:v>
      </x:c>
      <x:c r="C7" s="29"/>
      <x:c r="D7" s="24" t="str">
        <x:v>3. Planner competition is paid-ad competition; it is not organic difficulty.</x:v>
      </x:c>
      <x:c r="E7" s="24"/>
      <x:c r="F7" s="24"/>
      <x:c r="G7" s="24"/>
      <x:c r="H7" s="24"/>
    </x:row>
    <x:row r="8">
      <x:c r="A8" s="30" t="str">
        <x:v>Rank Tracker</x:v>
      </x:c>
      <x:c r="B8" s="30" t="str">
        <x:v>Record one row per keyword check. Use the same geography, device and depersonalised method every week.</x:v>
      </x:c>
      <x:c r="C8" s="29"/>
      <x:c r="D8" s="24" t="str">
        <x:v>4. Use original project evidence, not generic AI summaries.</x:v>
      </x:c>
      <x:c r="E8" s="24"/>
      <x:c r="F8" s="24"/>
      <x:c r="G8" s="24"/>
      <x:c r="H8" s="24"/>
    </x:row>
    <x:row r="9">
      <x:c r="A9" s="30" t="str">
        <x:v>Page Map</x:v>
      </x:c>
      <x:c r="B9" s="30" t="str">
        <x:v>Maps existing and proposed pages to keyword ownership so pages do not cannibalise each other.</x:v>
      </x:c>
      <x:c r="C9" s="29"/>
      <x:c r="D9" s="24" t="str">
        <x:v>5. Relevant referring domains and client corroboration matter more than raw backlink totals.</x:v>
      </x:c>
      <x:c r="E9" s="24"/>
      <x:c r="F9" s="24"/>
      <x:c r="G9" s="24"/>
      <x:c r="H9" s="24"/>
    </x:row>
    <x:row r="10">
      <x:c r="A10" s="30" t="str">
        <x:v>Content Pipeline</x:v>
      </x:c>
      <x:c r="B10" s="30" t="str">
        <x:v>Evidence-led content and product backlog. Items remain on hold until the observation checkpoint.</x:v>
      </x:c>
      <x:c r="C10" s="29"/>
      <x:c r="D10" s="24" t="str">
        <x:v>6. Local commercial traffic is judged by enquiries, not visits alone.</x:v>
      </x:c>
      <x:c r="E10" s="24"/>
      <x:c r="F10" s="24"/>
      <x:c r="G10" s="24"/>
      <x:c r="H10" s="24"/>
    </x:row>
    <x:row r="11">
      <x:c r="A11" s="30" t="str">
        <x:v>Backlink CRM</x:v>
      </x:c>
      <x:c r="B11" s="30" t="str">
        <x:v>Tracks outreach and public verification. Count only live, relevant, logged-out-visible links as won.</x:v>
      </x:c>
      <x:c r="C11" s="29"/>
      <x:c r="D11" s="24" t="str">
        <x:v>7. No website changes during the agreed observation period.</x:v>
      </x:c>
      <x:c r="E11" s="24"/>
      <x:c r="F11" s="24"/>
      <x:c r="G11" s="24"/>
      <x:c r="H11" s="24"/>
    </x:row>
    <x:row r="12">
      <x:c r="A12" s="30" t="str">
        <x:v>AI Visibility</x:v>
      </x:c>
      <x:c r="B12" s="30" t="str">
        <x:v>Fixed prompt panel for ChatGPT, Google AI and Bing/Copilot. Track mentions and citations separately.</x:v>
      </x:c>
      <x:c r="C12" s="29"/>
      <x:c r="D12" s="29"/>
      <x:c r="E12" s="29"/>
      <x:c r="F12" s="29"/>
      <x:c r="G12" s="29"/>
      <x:c r="H12" s="29"/>
    </x:row>
    <x:row r="13" ht="30" customHeight="1">
      <x:c r="A13" s="30" t="str">
        <x:v>Competitors</x:v>
      </x:c>
      <x:c r="B13" s="30" t="str">
        <x:v>Authority and SERP evidence, including strengths Growth Masala must counter.</x:v>
      </x:c>
      <x:c r="C13" s="29"/>
      <x:c r="D13" s="14" t="str">
        <x:v>Colour</x:v>
      </x:c>
      <x:c r="E13" s="15" t="str">
        <x:v>Meaning</x:v>
      </x:c>
      <x:c r="F13" s="29"/>
      <x:c r="G13" s="29"/>
      <x:c r="H13" s="29"/>
    </x:row>
    <x:row r="14">
      <x:c r="A14" s="30" t="str">
        <x:v>Experiments</x:v>
      </x:c>
      <x:c r="B14" s="30" t="str">
        <x:v>Every SEO action requires a hypothesis, baseline, primary metric and decision rule.</x:v>
      </x:c>
      <x:c r="C14" s="29"/>
      <x:c r="D14" s="31" t="str">
        <x:v>Yellow</x:v>
      </x:c>
      <x:c r="E14" s="29" t="str">
        <x:v>Editable input / manual update</x:v>
      </x:c>
      <x:c r="F14" s="29"/>
      <x:c r="G14" s="29"/>
      <x:c r="H14" s="29"/>
    </x:row>
    <x:row r="15">
      <x:c r="A15" s="30" t="str">
        <x:v>Sources</x:v>
      </x:c>
      <x:c r="B15" s="30" t="str">
        <x:v>URLs, dates and definitions used in this workbook.</x:v>
      </x:c>
      <x:c r="C15" s="29"/>
      <x:c r="D15" s="32" t="str">
        <x:v>Blue</x:v>
      </x:c>
      <x:c r="E15" s="29" t="str">
        <x:v>Monitoring / evidence being collected</x:v>
      </x:c>
      <x:c r="F15" s="29"/>
      <x:c r="G15" s="29"/>
      <x:c r="H15" s="29"/>
    </x:row>
    <x:row r="16">
      <x:c r="A16" s="33" t="str">
        <x:v>Update cadence</x:v>
      </x:c>
      <x:c r="B16" s="33" t="str">
        <x:v>Weekly: KPI, ranks, links. Monthly: AI prompts, competitors, content decisions. Quarterly: strategy review.</x:v>
      </x:c>
      <x:c r="C16" s="29"/>
      <x:c r="D16" s="34" t="str">
        <x:v>Green</x:v>
      </x:c>
      <x:c r="E16" s="29" t="str">
        <x:v>Verified win or completed action</x:v>
      </x:c>
      <x:c r="F16" s="29"/>
      <x:c r="G16" s="29"/>
      <x:c r="H16" s="29"/>
    </x:row>
    <x:row r="17">
      <x:c r="A17" s="29"/>
      <x:c r="B17" s="29"/>
      <x:c r="C17" s="29"/>
      <x:c r="D17" s="35" t="str">
        <x:v>Red</x:v>
      </x:c>
      <x:c r="E17" s="29" t="str">
        <x:v>Risk, failed check or rejected action</x:v>
      </x:c>
      <x:c r="F17" s="29"/>
      <x:c r="G17" s="29"/>
      <x:c r="H17" s="29"/>
    </x:row>
    <x:row r="18">
      <x:c r="A18" s="29"/>
      <x:c r="B18" s="29"/>
      <x:c r="C18" s="29"/>
      <x:c r="D18" s="36" t="str">
        <x:v>Grey</x:v>
      </x:c>
      <x:c r="E18" s="29" t="str">
        <x:v>Reference or calculated output</x:v>
      </x:c>
      <x:c r="F18" s="29"/>
      <x:c r="G18" s="29"/>
      <x:c r="H18" s="29"/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D10:H10"/>
    <x:mergeCell ref="D11:H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45" hidden="0" customWidth="1"/>
  </x:cols>
  <x:sheetData>
    <x:row r="1" ht="34" customHeight="1">
      <x:c r="A1" s="3" t="str">
        <x:v>Weekly SEO KPI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Input one consistent weekly snapshot. Baseline values come from the Growth Masala Search Console review.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4" t="str">
        <x:v>Week Ending</x:v>
      </x:c>
      <x:c r="B4" s="21" t="str">
        <x:v>GSC Clicks</x:v>
      </x:c>
      <x:c r="C4" s="21" t="str">
        <x:v>GSC Impressions</x:v>
      </x:c>
      <x:c r="D4" s="21" t="str">
        <x:v>CTR</x:v>
      </x:c>
      <x:c r="E4" s="21" t="str">
        <x:v>Avg Position</x:v>
      </x:c>
      <x:c r="F4" s="21" t="str">
        <x:v>Organic Sessions</x:v>
      </x:c>
      <x:c r="G4" s="21" t="str">
        <x:v>Organic Leads</x:v>
      </x:c>
      <x:c r="H4" s="21" t="str">
        <x:v>Conversion Rate</x:v>
      </x:c>
      <x:c r="I4" s="21" t="str">
        <x:v>Branded Impressions</x:v>
      </x:c>
      <x:c r="J4" s="21" t="str">
        <x:v>New Relevant Ref. Domains</x:v>
      </x:c>
      <x:c r="K4" s="21" t="str">
        <x:v>AI Mentions</x:v>
      </x:c>
      <x:c r="L4" s="21" t="str">
        <x:v>Published Assets</x:v>
      </x:c>
      <x:c r="M4" s="21" t="str">
        <x:v>Primary Change</x:v>
      </x:c>
      <x:c r="N4" s="15" t="str">
        <x:v>Notes / Data Quality</x:v>
      </x:c>
    </x:row>
    <x:row r="5">
      <x:c r="A5" s="45" t="n">
        <x:v>46254</x:v>
      </x:c>
      <x:c r="B5" s="46" t="n">
        <x:v>34</x:v>
      </x:c>
      <x:c r="C5" s="46" t="n">
        <x:v>265</x:v>
      </x:c>
      <x:c r="D5" s="47" t="n">
        <x:f>IFERROR(B5/C5,"")</x:f>
        <x:v>0.12830188679245283</x:v>
      </x:c>
      <x:c r="E5" s="48" t="n">
        <x:v>9.8</x:v>
      </x:c>
      <x:c r="F5" s="46"/>
      <x:c r="G5" s="46"/>
      <x:c r="H5" s="47" t="str">
        <x:f>IFERROR(G5/F5,"")</x:f>
      </x:c>
      <x:c r="I5" s="46"/>
      <x:c r="J5" s="46"/>
      <x:c r="K5" s="46"/>
      <x:c r="L5" s="46" t="n">
        <x:v>2</x:v>
      </x:c>
      <x:c r="M5" s="60" t="str">
        <x:v>SEO baseline and two active publishing days logged</x:v>
      </x:c>
      <x:c r="N5" s="60" t="str">
        <x:v>3-month Search Console property total; query samples remain small</x:v>
      </x:c>
    </x:row>
    <x:row r="6">
      <x:c r="A6" s="50" t="n">
        <x:v>46261</x:v>
      </x:c>
      <x:c r="B6" s="51" t="n">
        <x:v>35</x:v>
      </x:c>
      <x:c r="C6" s="51" t="n">
        <x:v>322</x:v>
      </x:c>
      <x:c r="D6" s="52" t="n">
        <x:f>IFERROR(B6/C6,"")</x:f>
        <x:v>0.10869565217391304</x:v>
      </x:c>
      <x:c r="E6" s="53" t="n">
        <x:v>9.9</x:v>
      </x:c>
      <x:c r="F6" s="51" t="n">
        <x:v>10</x:v>
      </x:c>
      <x:c r="G6" s="51" t="n">
        <x:v>0</x:v>
      </x:c>
      <x:c r="H6" s="52" t="n">
        <x:f>IFERROR(G6/F6,"")</x:f>
        <x:v>0</x:v>
      </x:c>
      <x:c r="I6" s="51"/>
      <x:c r="J6" s="51" t="n">
        <x:v>0</x:v>
      </x:c>
      <x:c r="K6" s="51"/>
      <x:c r="L6" s="51" t="n">
        <x:v>2</x:v>
      </x:c>
      <x:c r="M6" s="61" t="str">
        <x:v>GSC surfaced ‘website designer hyderabad’; X + Reddit published</x:v>
      </x:c>
      <x:c r="N6" s="61" t="str">
        <x:v>GSC through Aug 21; GA4 last 7d; 0 key events; Bing and Bing AI at 0; no website changes</x:v>
      </x:c>
    </x:row>
    <x:row r="7">
      <x:c r="A7" s="50" t="n">
        <x:v>46268</x:v>
      </x:c>
      <x:c r="B7" s="51"/>
      <x:c r="C7" s="51"/>
      <x:c r="D7" s="52" t="str">
        <x:f>IFERROR(B7/C7,"")</x:f>
      </x:c>
      <x:c r="E7" s="53"/>
      <x:c r="F7" s="51"/>
      <x:c r="G7" s="51"/>
      <x:c r="H7" s="52" t="str">
        <x:f>IFERROR(G7/F7,"")</x:f>
      </x:c>
      <x:c r="I7" s="51"/>
      <x:c r="J7" s="51"/>
      <x:c r="K7" s="51"/>
      <x:c r="L7" s="51"/>
      <x:c r="M7" s="61" t="str"/>
      <x:c r="N7" s="61" t="str"/>
    </x:row>
    <x:row r="8">
      <x:c r="A8" s="50" t="n">
        <x:v>46275</x:v>
      </x:c>
      <x:c r="B8" s="51"/>
      <x:c r="C8" s="51"/>
      <x:c r="D8" s="52" t="str">
        <x:f>IFERROR(B8/C8,"")</x:f>
      </x:c>
      <x:c r="E8" s="53"/>
      <x:c r="F8" s="51"/>
      <x:c r="G8" s="51"/>
      <x:c r="H8" s="52" t="str">
        <x:f>IFERROR(G8/F8,"")</x:f>
      </x:c>
      <x:c r="I8" s="51"/>
      <x:c r="J8" s="51"/>
      <x:c r="K8" s="51"/>
      <x:c r="L8" s="51"/>
      <x:c r="M8" s="61" t="str"/>
      <x:c r="N8" s="61" t="str"/>
    </x:row>
    <x:row r="9">
      <x:c r="A9" s="50" t="n">
        <x:v>46282</x:v>
      </x:c>
      <x:c r="B9" s="51"/>
      <x:c r="C9" s="51"/>
      <x:c r="D9" s="52" t="str">
        <x:f>IFERROR(B9/C9,"")</x:f>
      </x:c>
      <x:c r="E9" s="53"/>
      <x:c r="F9" s="51"/>
      <x:c r="G9" s="51"/>
      <x:c r="H9" s="52" t="str">
        <x:f>IFERROR(G9/F9,"")</x:f>
      </x:c>
      <x:c r="I9" s="51"/>
      <x:c r="J9" s="51"/>
      <x:c r="K9" s="51"/>
      <x:c r="L9" s="51"/>
      <x:c r="M9" s="61" t="str"/>
      <x:c r="N9" s="61" t="str"/>
    </x:row>
    <x:row r="10">
      <x:c r="A10" s="50" t="n">
        <x:v>46289</x:v>
      </x:c>
      <x:c r="B10" s="51" t="n">
        <x:v>11</x:v>
      </x:c>
      <x:c r="C10" s="51" t="n">
        <x:v>417</x:v>
      </x:c>
      <x:c r="D10" s="52" t="n">
        <x:v>0.026378896882494004</x:v>
      </x:c>
      <x:c r="E10" s="53" t="n">
        <x:v>16</x:v>
      </x:c>
      <x:c r="F10" s="51"/>
      <x:c r="G10" s="51"/>
      <x:c r="H10" s="52"/>
      <x:c r="I10" s="51"/>
      <x:c r="J10" s="51"/>
      <x:c r="K10" s="51"/>
      <x:c r="L10" s="51" t="n">
        <x:v>1</x:v>
      </x:c>
      <x:c r="M10" s="61" t="str">
        <x:v>Hyderabad page refinement; Medium article published</x:v>
      </x:c>
      <x:c r="N10" s="61" t="str">
        <x:v>GSC rolling 28-day snapshot Aug 26–Sep 22 (not comparable to prior 3-month rows); property: 11 clicks, 417 impressions, 2.6% CTR, avg position 16; Hyderabad page: 3 impressions, 0 clicks. GA4 lead event not yet observed.</x:v>
      </x:c>
    </x:row>
    <x:row r="11">
      <x:c r="A11" s="50" t="n">
        <x:v>46296</x:v>
      </x:c>
      <x:c r="B11" s="51"/>
      <x:c r="C11" s="51"/>
      <x:c r="D11" s="52" t="str">
        <x:f>IFERROR(B11/C11,"")</x:f>
      </x:c>
      <x:c r="E11" s="53"/>
      <x:c r="F11" s="51"/>
      <x:c r="G11" s="51"/>
      <x:c r="H11" s="52" t="str">
        <x:f>IFERROR(G11/F11,"")</x:f>
      </x:c>
      <x:c r="I11" s="51"/>
      <x:c r="J11" s="51"/>
      <x:c r="K11" s="51"/>
      <x:c r="L11" s="51"/>
      <x:c r="M11" s="61" t="str"/>
      <x:c r="N11" s="61" t="str"/>
    </x:row>
    <x:row r="12">
      <x:c r="A12" s="50" t="n">
        <x:v>46303</x:v>
      </x:c>
      <x:c r="B12" s="51"/>
      <x:c r="C12" s="51"/>
      <x:c r="D12" s="52" t="str">
        <x:f>IFERROR(B12/C12,"")</x:f>
      </x:c>
      <x:c r="E12" s="53"/>
      <x:c r="F12" s="51"/>
      <x:c r="G12" s="51"/>
      <x:c r="H12" s="52" t="str">
        <x:f>IFERROR(G12/F12,"")</x:f>
      </x:c>
      <x:c r="I12" s="51"/>
      <x:c r="J12" s="51"/>
      <x:c r="K12" s="51"/>
      <x:c r="L12" s="51"/>
      <x:c r="M12" s="61" t="str"/>
      <x:c r="N12" s="61" t="str"/>
    </x:row>
    <x:row r="13">
      <x:c r="A13" s="50" t="n">
        <x:v>46310</x:v>
      </x:c>
      <x:c r="B13" s="51"/>
      <x:c r="C13" s="51"/>
      <x:c r="D13" s="52" t="str">
        <x:f>IFERROR(B13/C13,"")</x:f>
      </x:c>
      <x:c r="E13" s="53"/>
      <x:c r="F13" s="51"/>
      <x:c r="G13" s="51"/>
      <x:c r="H13" s="52" t="str">
        <x:f>IFERROR(G13/F13,"")</x:f>
      </x:c>
      <x:c r="I13" s="51"/>
      <x:c r="J13" s="51"/>
      <x:c r="K13" s="51"/>
      <x:c r="L13" s="51"/>
      <x:c r="M13" s="61" t="str"/>
      <x:c r="N13" s="61" t="str"/>
    </x:row>
    <x:row r="14">
      <x:c r="A14" s="50" t="n">
        <x:v>46317</x:v>
      </x:c>
      <x:c r="B14" s="51"/>
      <x:c r="C14" s="51"/>
      <x:c r="D14" s="52" t="str">
        <x:f>IFERROR(B14/C14,"")</x:f>
      </x:c>
      <x:c r="E14" s="53"/>
      <x:c r="F14" s="51"/>
      <x:c r="G14" s="51"/>
      <x:c r="H14" s="52" t="str">
        <x:f>IFERROR(G14/F14,"")</x:f>
      </x:c>
      <x:c r="I14" s="51"/>
      <x:c r="J14" s="51"/>
      <x:c r="K14" s="51"/>
      <x:c r="L14" s="51"/>
      <x:c r="M14" s="61" t="str"/>
      <x:c r="N14" s="61" t="str"/>
    </x:row>
    <x:row r="15">
      <x:c r="A15" s="50" t="n">
        <x:v>46324</x:v>
      </x:c>
      <x:c r="B15" s="51"/>
      <x:c r="C15" s="51"/>
      <x:c r="D15" s="52" t="str">
        <x:f>IFERROR(B15/C15,"")</x:f>
      </x:c>
      <x:c r="E15" s="53"/>
      <x:c r="F15" s="51"/>
      <x:c r="G15" s="51"/>
      <x:c r="H15" s="52" t="str">
        <x:f>IFERROR(G15/F15,"")</x:f>
      </x:c>
      <x:c r="I15" s="51"/>
      <x:c r="J15" s="51"/>
      <x:c r="K15" s="51"/>
      <x:c r="L15" s="51"/>
      <x:c r="M15" s="61" t="str"/>
      <x:c r="N15" s="61" t="str"/>
    </x:row>
    <x:row r="16">
      <x:c r="A16" s="50" t="n">
        <x:v>46331</x:v>
      </x:c>
      <x:c r="B16" s="51"/>
      <x:c r="C16" s="51"/>
      <x:c r="D16" s="52" t="str">
        <x:f>IFERROR(B16/C16,"")</x:f>
      </x:c>
      <x:c r="E16" s="53"/>
      <x:c r="F16" s="51"/>
      <x:c r="G16" s="51"/>
      <x:c r="H16" s="52" t="str">
        <x:f>IFERROR(G16/F16,"")</x:f>
      </x:c>
      <x:c r="I16" s="51"/>
      <x:c r="J16" s="51"/>
      <x:c r="K16" s="51"/>
      <x:c r="L16" s="51"/>
      <x:c r="M16" s="61" t="str"/>
      <x:c r="N16" s="61" t="str"/>
    </x:row>
    <x:row r="17">
      <x:c r="A17" s="55" t="n">
        <x:v>46338</x:v>
      </x:c>
      <x:c r="B17" s="56"/>
      <x:c r="C17" s="56"/>
      <x:c r="D17" s="57" t="str">
        <x:f>IFERROR(B17/C17,"")</x:f>
      </x:c>
      <x:c r="E17" s="58"/>
      <x:c r="F17" s="56"/>
      <x:c r="G17" s="56"/>
      <x:c r="H17" s="57" t="str">
        <x:f>IFERROR(G17/F17,"")</x:f>
      </x:c>
      <x:c r="I17" s="56"/>
      <x:c r="J17" s="56"/>
      <x:c r="K17" s="56"/>
      <x:c r="L17" s="56"/>
      <x:c r="M17" s="62" t="str"/>
      <x:c r="N17" s="62" t="str"/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8120c02363724b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36" hidden="0" customWidth="1"/>
    <x:col min="4" max="4" width="16" hidden="0" customWidth="1"/>
    <x:col min="5" max="5" width="12" hidden="0" customWidth="1"/>
    <x:col min="6" max="6" width="18" hidden="0" customWidth="1"/>
    <x:col min="7" max="7" width="20" hidden="0" customWidth="1"/>
    <x:col min="8" max="8" width="14" hidden="0" customWidth="1"/>
    <x:col min="9" max="9" width="13" hidden="0" customWidth="1"/>
    <x:col min="10" max="10" width="16" hidden="0" customWidth="1"/>
    <x:col min="11" max="11" width="14" hidden="0" customWidth="1"/>
    <x:col min="12" max="12" width="12" hidden="0" customWidth="1"/>
    <x:col min="13" max="13" width="12" hidden="0" customWidth="1"/>
    <x:col min="14" max="14" width="15" hidden="0" customWidth="1"/>
    <x:col min="15" max="15" width="44" hidden="0" customWidth="1"/>
    <x:col min="16" max="16" width="16" hidden="0" customWidth="1"/>
    <x:col min="17" max="17" width="13" hidden="0" customWidth="1"/>
    <x:col min="18" max="18" width="50" hidden="0" customWidth="1"/>
    <x:col min="19" max="19" width="42" hidden="0" customWidth="1"/>
    <x:col min="20" max="20" width="14" hidden="0" customWidth="1"/>
  </x:cols>
  <x:sheetData>
    <x:row r="1" ht="34" customHeight="1">
      <x:c r="A1" s="3" t="str">
        <x:v>Keyword Master &amp; Priority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0" customHeight="1">
      <x:c r="A2" s="7" t="str">
        <x:v>Demand, difficulty and rankings are kept as separate evidence types. Priority Score is formula-driven and editable inputs are yellow.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0" customHeight="1">
      <x:c r="A4" s="14" t="str">
        <x:v>ID</x:v>
      </x:c>
      <x:c r="B4" s="21" t="str">
        <x:v>Topic Cluster</x:v>
      </x:c>
      <x:c r="C4" s="21" t="str">
        <x:v>Keyword</x:v>
      </x:c>
      <x:c r="D4" s="21" t="str">
        <x:v>Location</x:v>
      </x:c>
      <x:c r="E4" s="21" t="str">
        <x:v>Funnel</x:v>
      </x:c>
      <x:c r="F4" s="21" t="str">
        <x:v>Intent</x:v>
      </x:c>
      <x:c r="G4" s="21" t="str">
        <x:v>Demand Source</x:v>
      </x:c>
      <x:c r="H4" s="21" t="str">
        <x:v>Demand Band</x:v>
      </x:c>
      <x:c r="I4" s="21" t="str">
        <x:v>Organic KD</x:v>
      </x:c>
      <x:c r="J4" s="21" t="str">
        <x:v>Paid Competition</x:v>
      </x:c>
      <x:c r="K4" s="21" t="str">
        <x:v>Business Potential (0-3)</x:v>
      </x:c>
      <x:c r="L4" s="21" t="str">
        <x:v>Current Rank</x:v>
      </x:c>
      <x:c r="M4" s="21" t="str">
        <x:v>Target Rank</x:v>
      </x:c>
      <x:c r="N4" s="21" t="str">
        <x:v>Status</x:v>
      </x:c>
      <x:c r="O4" s="21" t="str">
        <x:v>Target Page</x:v>
      </x:c>
      <x:c r="P4" s="21" t="str">
        <x:v>Evidence Confidence</x:v>
      </x:c>
      <x:c r="Q4" s="21" t="str">
        <x:v>Priority Score</x:v>
      </x:c>
      <x:c r="R4" s="21" t="str">
        <x:v>Recommended Action</x:v>
      </x:c>
      <x:c r="S4" s="21" t="str">
        <x:v>Source URL</x:v>
      </x:c>
      <x:c r="T4" s="15" t="str">
        <x:v>Last Checked</x:v>
      </x:c>
    </x:row>
    <x:row r="5">
      <x:c r="A5" s="60" t="str">
        <x:v>KW-001</x:v>
      </x:c>
      <x:c r="B5" s="60" t="str">
        <x:v>Website Development</x:v>
      </x:c>
      <x:c r="C5" s="60" t="str">
        <x:v>website development in mahabubnagar</x:v>
      </x:c>
      <x:c r="D5" s="60" t="str">
        <x:v>Mahabubnagar</x:v>
      </x:c>
      <x:c r="E5" s="60" t="str">
        <x:v>BOFU</x:v>
      </x:c>
      <x:c r="F5" s="60" t="str">
        <x:v>Hire</x:v>
      </x:c>
      <x:c r="G5" s="60" t="str">
        <x:v>Manual SERP</x:v>
      </x:c>
      <x:c r="H5" s="60" t="str">
        <x:v>Local exact</x:v>
      </x:c>
      <x:c r="I5" s="60" t="str">
        <x:v>Unknown</x:v>
      </x:c>
      <x:c r="J5" s="60" t="str">
        <x:v>Unknown</x:v>
      </x:c>
      <x:c r="K5" s="69" t="n">
        <x:v>3</x:v>
      </x:c>
      <x:c r="L5" s="69" t="n">
        <x:v>15</x:v>
      </x:c>
      <x:c r="M5" s="69" t="n">
        <x:v>10</x:v>
      </x:c>
      <x:c r="N5" s="60" t="str">
        <x:v>Monitoring</x:v>
      </x:c>
      <x:c r="O5" s="60" t="str">
        <x:v>https://growthmasala.com/website-development-mahabubnagar</x:v>
      </x:c>
      <x:c r="P5" s="60" t="str">
        <x:v>High</x:v>
      </x:c>
      <x:c r="Q5" s="70" t="n">
        <x:f>K5*3+IF(L5="",1,IF(L5&lt;=3,2,IF(L5&lt;=15,5,IF(L5&lt;=30,3,1))))+IF(H5="1K-10K",4,IF(H5="100-1K",3,IF(H5="&lt;100",2,1)))-IF(I5="Hard",2,IF(I5="Medium",1,0))</x:f>
        <x:v>15</x:v>
      </x:c>
      <x:c r="R5" s="60" t="str">
        <x:v>Primary low-hanging fruit: authority and internal support after observation</x:v>
      </x:c>
      <x:c r="S5" s="60" t="str">
        <x:v>https://www.google.com/search?q=website+development+in+mahabubnagar</x:v>
      </x:c>
      <x:c r="T5" s="71" t="n">
        <x:v>46254</x:v>
      </x:c>
    </x:row>
    <x:row r="6">
      <x:c r="A6" s="61" t="str">
        <x:v>KW-002</x:v>
      </x:c>
      <x:c r="B6" s="61" t="str">
        <x:v>Digital Marketing</x:v>
      </x:c>
      <x:c r="C6" s="61" t="str">
        <x:v>digital marketing agency in mahabubnagar</x:v>
      </x:c>
      <x:c r="D6" s="61" t="str">
        <x:v>Mahabubnagar</x:v>
      </x:c>
      <x:c r="E6" s="61" t="str">
        <x:v>BOFU</x:v>
      </x:c>
      <x:c r="F6" s="61" t="str">
        <x:v>Hire</x:v>
      </x:c>
      <x:c r="G6" s="61" t="str">
        <x:v>Manual SERP</x:v>
      </x:c>
      <x:c r="H6" s="61" t="str">
        <x:v>Local exact</x:v>
      </x:c>
      <x:c r="I6" s="61" t="str">
        <x:v>Unknown</x:v>
      </x:c>
      <x:c r="J6" s="61" t="str">
        <x:v>Unknown</x:v>
      </x:c>
      <x:c r="K6" s="72" t="n">
        <x:v>2</x:v>
      </x:c>
      <x:c r="L6" s="72" t="n">
        <x:v>4</x:v>
      </x:c>
      <x:c r="M6" s="72" t="n">
        <x:v>3</x:v>
      </x:c>
      <x:c r="N6" s="61" t="str">
        <x:v>Monitoring</x:v>
      </x:c>
      <x:c r="O6" s="61" t="str">
        <x:v>https://growthmasala.com/digital-marketing-agency-mahabubnagar</x:v>
      </x:c>
      <x:c r="P6" s="61" t="str">
        <x:v>High</x:v>
      </x:c>
      <x:c r="Q6" s="73" t="n">
        <x:f>K6*3+IF(L6="",1,IF(L6&lt;=3,2,IF(L6&lt;=15,5,IF(L6&lt;=30,3,1))))+IF(H6="1K-10K",4,IF(H6="100-1K",3,IF(H6="&lt;100",2,1)))-IF(I6="Hard",2,IF(I6="Medium",1,0))</x:f>
        <x:v>12</x:v>
      </x:c>
      <x:c r="R6" s="61" t="str">
        <x:v>Protect current page-one position; do not rewrite yet</x:v>
      </x:c>
      <x:c r="S6" s="61" t="str">
        <x:v>https://www.google.com/search?q=digital+marketing+agency+in+mahabubnagar</x:v>
      </x:c>
      <x:c r="T6" s="74" t="n">
        <x:v>46254</x:v>
      </x:c>
    </x:row>
    <x:row r="7">
      <x:c r="A7" s="61" t="str">
        <x:v>KW-003</x:v>
      </x:c>
      <x:c r="B7" s="61" t="str">
        <x:v>SEO</x:v>
      </x:c>
      <x:c r="C7" s="61" t="str">
        <x:v>seo services in mahabubnagar</x:v>
      </x:c>
      <x:c r="D7" s="61" t="str">
        <x:v>Mahabubnagar</x:v>
      </x:c>
      <x:c r="E7" s="61" t="str">
        <x:v>BOFU</x:v>
      </x:c>
      <x:c r="F7" s="61" t="str">
        <x:v>Hire</x:v>
      </x:c>
      <x:c r="G7" s="61" t="str">
        <x:v>Manual SERP</x:v>
      </x:c>
      <x:c r="H7" s="61" t="str">
        <x:v>Local exact</x:v>
      </x:c>
      <x:c r="I7" s="61" t="str">
        <x:v>Unknown</x:v>
      </x:c>
      <x:c r="J7" s="61" t="str">
        <x:v>Unknown</x:v>
      </x:c>
      <x:c r="K7" s="72" t="n">
        <x:v>2</x:v>
      </x:c>
      <x:c r="L7" s="72" t="n">
        <x:v>8</x:v>
      </x:c>
      <x:c r="M7" s="72" t="n">
        <x:v>5</x:v>
      </x:c>
      <x:c r="N7" s="61" t="str">
        <x:v>Monitoring</x:v>
      </x:c>
      <x:c r="O7" s="61" t="str">
        <x:v>https://growthmasala.com/seo-services-mahabubnagar</x:v>
      </x:c>
      <x:c r="P7" s="61" t="str">
        <x:v>High</x:v>
      </x:c>
      <x:c r="Q7" s="73" t="n">
        <x:f>K7*3+IF(L7="",1,IF(L7&lt;=3,2,IF(L7&lt;=15,5,IF(L7&lt;=30,3,1))))+IF(H7="1K-10K",4,IF(H7="100-1K",3,IF(H7="&lt;100",2,1)))-IF(I7="Hard",2,IF(I7="Medium",1,0))</x:f>
        <x:v>12</x:v>
      </x:c>
      <x:c r="R7" s="61" t="str">
        <x:v>Improve proof and filter irrelevant query drift before editing</x:v>
      </x:c>
      <x:c r="S7" s="61" t="str">
        <x:v>https://www.google.com/search?q=seo+services+in+mahabubnagar</x:v>
      </x:c>
      <x:c r="T7" s="74" t="n">
        <x:v>46254</x:v>
      </x:c>
    </x:row>
    <x:row r="8">
      <x:c r="A8" s="61" t="str">
        <x:v>KW-004</x:v>
      </x:c>
      <x:c r="B8" s="61" t="str">
        <x:v>Social Media</x:v>
      </x:c>
      <x:c r="C8" s="61" t="str">
        <x:v>social media marketing in mahabubnagar</x:v>
      </x:c>
      <x:c r="D8" s="61" t="str">
        <x:v>Mahabubnagar</x:v>
      </x:c>
      <x:c r="E8" s="61" t="str">
        <x:v>BOFU</x:v>
      </x:c>
      <x:c r="F8" s="61" t="str">
        <x:v>Hire</x:v>
      </x:c>
      <x:c r="G8" s="61" t="str">
        <x:v>Manual SERP</x:v>
      </x:c>
      <x:c r="H8" s="61" t="str">
        <x:v>Local exact</x:v>
      </x:c>
      <x:c r="I8" s="61" t="str">
        <x:v>Unknown</x:v>
      </x:c>
      <x:c r="J8" s="61" t="str">
        <x:v>Unknown</x:v>
      </x:c>
      <x:c r="K8" s="72" t="n">
        <x:v>1</x:v>
      </x:c>
      <x:c r="L8" s="72" t="n">
        <x:v>3</x:v>
      </x:c>
      <x:c r="M8" s="72" t="n">
        <x:v>3</x:v>
      </x:c>
      <x:c r="N8" s="61" t="str">
        <x:v>Monitoring</x:v>
      </x:c>
      <x:c r="O8" s="61" t="str">
        <x:v>https://growthmasala.com/social-media-marketing-mahabubnagar</x:v>
      </x:c>
      <x:c r="P8" s="61" t="str">
        <x:v>High</x:v>
      </x:c>
      <x:c r="Q8" s="73" t="n">
        <x:f>K8*3+IF(L8="",1,IF(L8&lt;=3,2,IF(L8&lt;=15,5,IF(L8&lt;=30,3,1))))+IF(H8="1K-10K",4,IF(H8="100-1K",3,IF(H8="&lt;100",2,1)))-IF(I8="Hard",2,IF(I8="Medium",1,0))</x:f>
        <x:v>6</x:v>
      </x:c>
      <x:c r="R8" s="61" t="str">
        <x:v>Protect; lower commercial priority than website development</x:v>
      </x:c>
      <x:c r="S8" s="61" t="str">
        <x:v>https://www.google.com/search?q=social+media+marketing+in+mahabubnagar</x:v>
      </x:c>
      <x:c r="T8" s="74" t="n">
        <x:v>46254</x:v>
      </x:c>
    </x:row>
    <x:row r="9">
      <x:c r="A9" s="61" t="str">
        <x:v>KW-005</x:v>
      </x:c>
      <x:c r="B9" s="61" t="str">
        <x:v>Meta Ads</x:v>
      </x:c>
      <x:c r="C9" s="61" t="str">
        <x:v>meta ads agency in mahabubnagar</x:v>
      </x:c>
      <x:c r="D9" s="61" t="str">
        <x:v>Mahabubnagar</x:v>
      </x:c>
      <x:c r="E9" s="61" t="str">
        <x:v>BOFU</x:v>
      </x:c>
      <x:c r="F9" s="61" t="str">
        <x:v>Hire</x:v>
      </x:c>
      <x:c r="G9" s="61" t="str">
        <x:v>Manual SERP</x:v>
      </x:c>
      <x:c r="H9" s="61" t="str">
        <x:v>Local exact</x:v>
      </x:c>
      <x:c r="I9" s="61" t="str">
        <x:v>Unknown</x:v>
      </x:c>
      <x:c r="J9" s="61" t="str">
        <x:v>Unknown</x:v>
      </x:c>
      <x:c r="K9" s="72" t="n">
        <x:v>1</x:v>
      </x:c>
      <x:c r="L9" s="72" t="n">
        <x:v>1</x:v>
      </x:c>
      <x:c r="M9" s="72" t="n">
        <x:v>1</x:v>
      </x:c>
      <x:c r="N9" s="61" t="str">
        <x:v>Monitoring</x:v>
      </x:c>
      <x:c r="O9" s="61" t="str">
        <x:v>https://growthmasala.com/meta-ads-mahabubnagar</x:v>
      </x:c>
      <x:c r="P9" s="61" t="str">
        <x:v>High</x:v>
      </x:c>
      <x:c r="Q9" s="73" t="n">
        <x:f>K9*3+IF(L9="",1,IF(L9&lt;=3,2,IF(L9&lt;=15,5,IF(L9&lt;=30,3,1))))+IF(H9="1K-10K",4,IF(H9="100-1K",3,IF(H9="&lt;100",2,1)))-IF(I9="Hard",2,IF(I9="Medium",1,0))</x:f>
        <x:v>6</x:v>
      </x:c>
      <x:c r="R9" s="61" t="str">
        <x:v>Protect winner; use only as supporting credibility</x:v>
      </x:c>
      <x:c r="S9" s="61" t="str">
        <x:v>https://www.google.com/search?q=meta+ads+agency+in+mahabubnagar</x:v>
      </x:c>
      <x:c r="T9" s="74" t="n">
        <x:v>46254</x:v>
      </x:c>
    </x:row>
    <x:row r="10">
      <x:c r="A10" s="61" t="str">
        <x:v>KW-006</x:v>
      </x:c>
      <x:c r="B10" s="61" t="str">
        <x:v>Website Cost</x:v>
      </x:c>
      <x:c r="C10" s="61" t="str">
        <x:v>website design cost mahabubnagar</x:v>
      </x:c>
      <x:c r="D10" s="61" t="str">
        <x:v>Mahabubnagar</x:v>
      </x:c>
      <x:c r="E10" s="61" t="str">
        <x:v>MOFU</x:v>
      </x:c>
      <x:c r="F10" s="61" t="str">
        <x:v>Compare price</x:v>
      </x:c>
      <x:c r="G10" s="61" t="str">
        <x:v>Manual SERP</x:v>
      </x:c>
      <x:c r="H10" s="61" t="str">
        <x:v>Local exact</x:v>
      </x:c>
      <x:c r="I10" s="61" t="str">
        <x:v>Unknown</x:v>
      </x:c>
      <x:c r="J10" s="61" t="str">
        <x:v>Unknown</x:v>
      </x:c>
      <x:c r="K10" s="72" t="n">
        <x:v>3</x:v>
      </x:c>
      <x:c r="L10" s="72" t="n">
        <x:v>2</x:v>
      </x:c>
      <x:c r="M10" s="72" t="n">
        <x:v>1</x:v>
      </x:c>
      <x:c r="N10" s="61" t="str">
        <x:v>Monitoring</x:v>
      </x:c>
      <x:c r="O10" s="61" t="str">
        <x:v>https://growthmasala.com/blog/website-design-cost-mahabubnagar</x:v>
      </x:c>
      <x:c r="P10" s="61" t="str">
        <x:v>High</x:v>
      </x:c>
      <x:c r="Q10" s="73" t="n">
        <x:f>K10*3+IF(L10="",1,IF(L10&lt;=3,2,IF(L10&lt;=15,5,IF(L10&lt;=30,3,1))))+IF(H10="1K-10K",4,IF(H10="100-1K",3,IF(H10="&lt;100",2,1)))-IF(I10="Hard",2,IF(I10="Medium",1,0))</x:f>
        <x:v>12</x:v>
      </x:c>
      <x:c r="R10" s="61" t="str">
        <x:v>Use as authority bridge to website-development page</x:v>
      </x:c>
      <x:c r="S10" s="61" t="str">
        <x:v>https://www.google.com/search?q=website+design+cost+mahabubnagar</x:v>
      </x:c>
      <x:c r="T10" s="74" t="n">
        <x:v>46254</x:v>
      </x:c>
    </x:row>
    <x:row r="11">
      <x:c r="A11" s="61" t="str">
        <x:v>KW-007</x:v>
      </x:c>
      <x:c r="B11" s="61" t="str">
        <x:v>Local Agency</x:v>
      </x:c>
      <x:c r="C11" s="61" t="str">
        <x:v>digital marketing agency jadcherla</x:v>
      </x:c>
      <x:c r="D11" s="61" t="str">
        <x:v>Jadcherla</x:v>
      </x:c>
      <x:c r="E11" s="61" t="str">
        <x:v>BOFU</x:v>
      </x:c>
      <x:c r="F11" s="61" t="str">
        <x:v>Hire</x:v>
      </x:c>
      <x:c r="G11" s="61" t="str">
        <x:v>Manual SERP</x:v>
      </x:c>
      <x:c r="H11" s="61" t="str">
        <x:v>Local exact</x:v>
      </x:c>
      <x:c r="I11" s="61" t="str">
        <x:v>Unknown</x:v>
      </x:c>
      <x:c r="J11" s="61" t="str">
        <x:v>Unknown</x:v>
      </x:c>
      <x:c r="K11" s="72" t="n">
        <x:v>1</x:v>
      </x:c>
      <x:c r="L11" s="72" t="n">
        <x:v>2</x:v>
      </x:c>
      <x:c r="M11" s="72" t="n">
        <x:v>1</x:v>
      </x:c>
      <x:c r="N11" s="61" t="str">
        <x:v>Monitoring</x:v>
      </x:c>
      <x:c r="O11" s="61" t="str">
        <x:v>https://growthmasala.com/digital-marketing-agency-jadcherla</x:v>
      </x:c>
      <x:c r="P11" s="61" t="str">
        <x:v>High</x:v>
      </x:c>
      <x:c r="Q11" s="73" t="n">
        <x:f>K11*3+IF(L11="",1,IF(L11&lt;=3,2,IF(L11&lt;=15,5,IF(L11&lt;=30,3,1))))+IF(H11="1K-10K",4,IF(H11="100-1K",3,IF(H11="&lt;100",2,1)))-IF(I11="Hard",2,IF(I11="Medium",1,0))</x:f>
        <x:v>6</x:v>
      </x:c>
      <x:c r="R11" s="61" t="str">
        <x:v>Protect; track leads before adding content</x:v>
      </x:c>
      <x:c r="S11" s="61" t="str">
        <x:v>https://www.google.com/search?q=digital+marketing+agency+jadcherla</x:v>
      </x:c>
      <x:c r="T11" s="74" t="n">
        <x:v>46254</x:v>
      </x:c>
    </x:row>
    <x:row r="12">
      <x:c r="A12" s="61" t="str">
        <x:v>KW-008</x:v>
      </x:c>
      <x:c r="B12" s="61" t="str">
        <x:v>Local Agency</x:v>
      </x:c>
      <x:c r="C12" s="61" t="str">
        <x:v>digital marketing agency shadnagar</x:v>
      </x:c>
      <x:c r="D12" s="61" t="str">
        <x:v>Shadnagar</x:v>
      </x:c>
      <x:c r="E12" s="61" t="str">
        <x:v>BOFU</x:v>
      </x:c>
      <x:c r="F12" s="61" t="str">
        <x:v>Hire</x:v>
      </x:c>
      <x:c r="G12" s="61" t="str">
        <x:v>Manual SERP</x:v>
      </x:c>
      <x:c r="H12" s="61" t="str">
        <x:v>Local exact</x:v>
      </x:c>
      <x:c r="I12" s="61" t="str">
        <x:v>Unknown</x:v>
      </x:c>
      <x:c r="J12" s="61" t="str">
        <x:v>Unknown</x:v>
      </x:c>
      <x:c r="K12" s="72" t="n">
        <x:v>1</x:v>
      </x:c>
      <x:c r="L12" s="72" t="n">
        <x:v>3</x:v>
      </x:c>
      <x:c r="M12" s="72" t="n">
        <x:v>3</x:v>
      </x:c>
      <x:c r="N12" s="61" t="str">
        <x:v>Monitoring</x:v>
      </x:c>
      <x:c r="O12" s="61" t="str">
        <x:v>https://growthmasala.com/digital-marketing-agency-shadnagar</x:v>
      </x:c>
      <x:c r="P12" s="61" t="str">
        <x:v>High</x:v>
      </x:c>
      <x:c r="Q12" s="73" t="n">
        <x:f>K12*3+IF(L12="",1,IF(L12&lt;=3,2,IF(L12&lt;=15,5,IF(L12&lt;=30,3,1))))+IF(H12="1K-10K",4,IF(H12="100-1K",3,IF(H12="&lt;100",2,1)))-IF(I12="Hard",2,IF(I12="Medium",1,0))</x:f>
        <x:v>6</x:v>
      </x:c>
      <x:c r="R12" s="61" t="str">
        <x:v>Protect and monitor</x:v>
      </x:c>
      <x:c r="S12" s="61" t="str">
        <x:v>https://www.google.com/search?q=digital+marketing+agency+shadnagar</x:v>
      </x:c>
      <x:c r="T12" s="74" t="n">
        <x:v>46254</x:v>
      </x:c>
    </x:row>
    <x:row r="13">
      <x:c r="A13" s="61" t="str">
        <x:v>KW-009</x:v>
      </x:c>
      <x:c r="B13" s="61" t="str">
        <x:v>Website Development</x:v>
      </x:c>
      <x:c r="C13" s="61" t="str">
        <x:v>website development company hyderabad</x:v>
      </x:c>
      <x:c r="D13" s="61" t="str">
        <x:v>Hyderabad</x:v>
      </x:c>
      <x:c r="E13" s="61" t="str">
        <x:v>BOFU</x:v>
      </x:c>
      <x:c r="F13" s="61" t="str">
        <x:v>Hire</x:v>
      </x:c>
      <x:c r="G13" s="61" t="str">
        <x:v>Ahrefs + manual SERP</x:v>
      </x:c>
      <x:c r="H13" s="61" t="str">
        <x:v>&lt;100</x:v>
      </x:c>
      <x:c r="I13" s="61" t="str">
        <x:v>Easy</x:v>
      </x:c>
      <x:c r="J13" s="61" t="str">
        <x:v>Unknown</x:v>
      </x:c>
      <x:c r="K13" s="72" t="n">
        <x:v>3</x:v>
      </x:c>
      <x:c r="L13" s="72"/>
      <x:c r="M13" s="72" t="n">
        <x:v>10</x:v>
      </x:c>
      <x:c r="N13" s="61" t="str">
        <x:v>Planned</x:v>
      </x:c>
      <x:c r="O13" s="61" t="str">
        <x:v>https://growthmasala.com/website-development-hyderabad</x:v>
      </x:c>
      <x:c r="P13" s="61" t="str">
        <x:v>Medium</x:v>
      </x:c>
      <x:c r="Q13" s="73" t="n">
        <x:f>K13*3+IF(L13="",1,IF(L13&lt;=3,2,IF(L13&lt;=15,5,IF(L13&lt;=30,3,1))))+IF(H13="1K-10K",4,IF(H13="100-1K",3,IF(H13="&lt;100",2,1)))-IF(I13="Hard",2,IF(I13="Medium",1,0))</x:f>
        <x:v>12</x:v>
      </x:c>
      <x:c r="R13" s="61" t="str">
        <x:v>Primary Hyderabad commercial target; build proof and relevant links</x:v>
      </x:c>
      <x:c r="S13" s="61" t="str">
        <x:v>https://ahrefs.com/keyword-generator/</x:v>
      </x:c>
      <x:c r="T13" s="74" t="n">
        <x:v>46254</x:v>
      </x:c>
    </x:row>
    <x:row r="14">
      <x:c r="A14" s="61" t="str">
        <x:v>KW-010</x:v>
      </x:c>
      <x:c r="B14" s="61" t="str">
        <x:v>Website Development</x:v>
      </x:c>
      <x:c r="C14" s="61" t="str">
        <x:v>website development hyderabad</x:v>
      </x:c>
      <x:c r="D14" s="61" t="str">
        <x:v>Hyderabad</x:v>
      </x:c>
      <x:c r="E14" s="61" t="str">
        <x:v>BOFU</x:v>
      </x:c>
      <x:c r="F14" s="61" t="str">
        <x:v>Hire</x:v>
      </x:c>
      <x:c r="G14" s="61" t="str">
        <x:v>Ahrefs + Trends</x:v>
      </x:c>
      <x:c r="H14" s="61" t="str">
        <x:v>&lt;100</x:v>
      </x:c>
      <x:c r="I14" s="61" t="str">
        <x:v>Medium</x:v>
      </x:c>
      <x:c r="J14" s="61" t="str">
        <x:v>Unknown</x:v>
      </x:c>
      <x:c r="K14" s="72" t="n">
        <x:v>3</x:v>
      </x:c>
      <x:c r="L14" s="72"/>
      <x:c r="M14" s="72" t="n">
        <x:v>10</x:v>
      </x:c>
      <x:c r="N14" s="61" t="str">
        <x:v>Planned</x:v>
      </x:c>
      <x:c r="O14" s="61" t="str">
        <x:v>https://growthmasala.com/website-development-hyderabad</x:v>
      </x:c>
      <x:c r="P14" s="61" t="str">
        <x:v>Medium</x:v>
      </x:c>
      <x:c r="Q14" s="73" t="n">
        <x:f>K14*3+IF(L14="",1,IF(L14&lt;=3,2,IF(L14&lt;=15,5,IF(L14&lt;=30,3,1))))+IF(H14="1K-10K",4,IF(H14="100-1K",3,IF(H14="&lt;100",2,1)))-IF(I14="Hard",2,IF(I14="Medium",1,0))</x:f>
        <x:v>11</x:v>
      </x:c>
      <x:c r="R14" s="61" t="str">
        <x:v>Support the same page; do not create a duplicate</x:v>
      </x:c>
      <x:c r="S14" s="61" t="str">
        <x:v>https://ahrefs.com/keyword-generator/</x:v>
      </x:c>
      <x:c r="T14" s="74" t="n">
        <x:v>46254</x:v>
      </x:c>
    </x:row>
    <x:row r="15">
      <x:c r="A15" s="61" t="str">
        <x:v>KW-011</x:v>
      </x:c>
      <x:c r="B15" s="61" t="str">
        <x:v>Website Development</x:v>
      </x:c>
      <x:c r="C15" s="61" t="str">
        <x:v>web development company hyderabad</x:v>
      </x:c>
      <x:c r="D15" s="61" t="str">
        <x:v>Hyderabad</x:v>
      </x:c>
      <x:c r="E15" s="61" t="str">
        <x:v>BOFU</x:v>
      </x:c>
      <x:c r="F15" s="61" t="str">
        <x:v>Hire</x:v>
      </x:c>
      <x:c r="G15" s="61" t="str">
        <x:v>Ahrefs</x:v>
      </x:c>
      <x:c r="H15" s="61" t="str">
        <x:v>&lt;100</x:v>
      </x:c>
      <x:c r="I15" s="61" t="str">
        <x:v>Medium</x:v>
      </x:c>
      <x:c r="J15" s="61" t="str">
        <x:v>Unknown</x:v>
      </x:c>
      <x:c r="K15" s="72" t="n">
        <x:v>3</x:v>
      </x:c>
      <x:c r="L15" s="72"/>
      <x:c r="M15" s="72" t="n">
        <x:v>10</x:v>
      </x:c>
      <x:c r="N15" s="61" t="str">
        <x:v>Planned</x:v>
      </x:c>
      <x:c r="O15" s="61" t="str">
        <x:v>https://growthmasala.com/website-development-hyderabad</x:v>
      </x:c>
      <x:c r="P15" s="61" t="str">
        <x:v>Medium</x:v>
      </x:c>
      <x:c r="Q15" s="73" t="n">
        <x:f>K15*3+IF(L15="",1,IF(L15&lt;=3,2,IF(L15&lt;=15,5,IF(L15&lt;=30,3,1))))+IF(H15="1K-10K",4,IF(H15="100-1K",3,IF(H15="&lt;100",2,1)))-IF(I15="Hard",2,IF(I15="Medium",1,0))</x:f>
        <x:v>11</x:v>
      </x:c>
      <x:c r="R15" s="61" t="str">
        <x:v>Treat as synonym cluster on the existing page</x:v>
      </x:c>
      <x:c r="S15" s="61" t="str">
        <x:v>https://ahrefs.com/keyword-generator/</x:v>
      </x:c>
      <x:c r="T15" s="74" t="n">
        <x:v>46254</x:v>
      </x:c>
    </x:row>
    <x:row r="16">
      <x:c r="A16" s="61" t="str">
        <x:v>KW-012</x:v>
      </x:c>
      <x:c r="B16" s="61" t="str">
        <x:v>Website Development</x:v>
      </x:c>
      <x:c r="C16" s="61" t="str">
        <x:v>website developer in hyderabad</x:v>
      </x:c>
      <x:c r="D16" s="61" t="str">
        <x:v>Hyderabad</x:v>
      </x:c>
      <x:c r="E16" s="61" t="str">
        <x:v>BOFU</x:v>
      </x:c>
      <x:c r="F16" s="61" t="str">
        <x:v>Hire</x:v>
      </x:c>
      <x:c r="G16" s="61" t="str">
        <x:v>SERP/PAA</x:v>
      </x:c>
      <x:c r="H16" s="61" t="str">
        <x:v>Unknown</x:v>
      </x:c>
      <x:c r="I16" s="61" t="str">
        <x:v>Unknown</x:v>
      </x:c>
      <x:c r="J16" s="61" t="str">
        <x:v>Unknown</x:v>
      </x:c>
      <x:c r="K16" s="72" t="n">
        <x:v>3</x:v>
      </x:c>
      <x:c r="L16" s="72"/>
      <x:c r="M16" s="72" t="n">
        <x:v>10</x:v>
      </x:c>
      <x:c r="N16" s="61" t="str">
        <x:v>Planned</x:v>
      </x:c>
      <x:c r="O16" s="61" t="str">
        <x:v>https://growthmasala.com/website-development-hyderabad</x:v>
      </x:c>
      <x:c r="P16" s="61" t="str">
        <x:v>Medium</x:v>
      </x:c>
      <x:c r="Q16" s="73" t="n">
        <x:f>K16*3+IF(L16="",1,IF(L16&lt;=3,2,IF(L16&lt;=15,5,IF(L16&lt;=30,3,1))))+IF(H16="1K-10K",4,IF(H16="100-1K",3,IF(H16="&lt;100",2,1)))-IF(I16="Hard",2,IF(I16="Medium",1,0))</x:f>
        <x:v>11</x:v>
      </x:c>
      <x:c r="R16" s="61" t="str">
        <x:v>Buyer-language target supported by project proof</x:v>
      </x:c>
      <x:c r="S16" s="61" t="str">
        <x:v>https://www.google.com/search?q=website+developer+in+hyderabad</x:v>
      </x:c>
      <x:c r="T16" s="74" t="n">
        <x:v>46254</x:v>
      </x:c>
    </x:row>
    <x:row r="17">
      <x:c r="A17" s="61" t="str">
        <x:v>KW-013</x:v>
      </x:c>
      <x:c r="B17" s="61" t="str">
        <x:v>Website Development</x:v>
      </x:c>
      <x:c r="C17" s="61" t="str">
        <x:v>affordable website development hyderabad</x:v>
      </x:c>
      <x:c r="D17" s="61" t="str">
        <x:v>Hyderabad</x:v>
      </x:c>
      <x:c r="E17" s="61" t="str">
        <x:v>BOFU</x:v>
      </x:c>
      <x:c r="F17" s="61" t="str">
        <x:v>Hire / price</x:v>
      </x:c>
      <x:c r="G17" s="61" t="str">
        <x:v>Ahrefs</x:v>
      </x:c>
      <x:c r="H17" s="61" t="str">
        <x:v>&lt;100</x:v>
      </x:c>
      <x:c r="I17" s="61" t="str">
        <x:v>Unknown</x:v>
      </x:c>
      <x:c r="J17" s="61" t="str">
        <x:v>Unknown</x:v>
      </x:c>
      <x:c r="K17" s="72" t="n">
        <x:v>3</x:v>
      </x:c>
      <x:c r="L17" s="72"/>
      <x:c r="M17" s="72" t="n">
        <x:v>10</x:v>
      </x:c>
      <x:c r="N17" s="61" t="str">
        <x:v>Planned</x:v>
      </x:c>
      <x:c r="O17" s="61" t="str">
        <x:v>https://growthmasala.com/website-development-hyderabad</x:v>
      </x:c>
      <x:c r="P17" s="61" t="str">
        <x:v>Medium</x:v>
      </x:c>
      <x:c r="Q17" s="73" t="n">
        <x:f>K17*3+IF(L17="",1,IF(L17&lt;=3,2,IF(L17&lt;=15,5,IF(L17&lt;=30,3,1))))+IF(H17="1K-10K",4,IF(H17="100-1K",3,IF(H17="&lt;100",2,1)))-IF(I17="Hard",2,IF(I17="Medium",1,0))</x:f>
        <x:v>12</x:v>
      </x:c>
      <x:c r="R17" s="61" t="str">
        <x:v>Use transparent scope and total-cost evidence</x:v>
      </x:c>
      <x:c r="S17" s="61" t="str">
        <x:v>https://ahrefs.com/keyword-generator/</x:v>
      </x:c>
      <x:c r="T17" s="74" t="n">
        <x:v>46254</x:v>
      </x:c>
    </x:row>
    <x:row r="18">
      <x:c r="A18" s="61" t="str">
        <x:v>KW-014</x:v>
      </x:c>
      <x:c r="B18" s="61" t="str">
        <x:v>Website Development</x:v>
      </x:c>
      <x:c r="C18" s="61" t="str">
        <x:v>business website development hyderabad</x:v>
      </x:c>
      <x:c r="D18" s="61" t="str">
        <x:v>Hyderabad</x:v>
      </x:c>
      <x:c r="E18" s="61" t="str">
        <x:v>BOFU</x:v>
      </x:c>
      <x:c r="F18" s="61" t="str">
        <x:v>Hire</x:v>
      </x:c>
      <x:c r="G18" s="61" t="str">
        <x:v>Ahrefs</x:v>
      </x:c>
      <x:c r="H18" s="61" t="str">
        <x:v>&lt;100</x:v>
      </x:c>
      <x:c r="I18" s="61" t="str">
        <x:v>Unknown</x:v>
      </x:c>
      <x:c r="J18" s="61" t="str">
        <x:v>Unknown</x:v>
      </x:c>
      <x:c r="K18" s="72" t="n">
        <x:v>3</x:v>
      </x:c>
      <x:c r="L18" s="72"/>
      <x:c r="M18" s="72" t="n">
        <x:v>10</x:v>
      </x:c>
      <x:c r="N18" s="61" t="str">
        <x:v>Planned</x:v>
      </x:c>
      <x:c r="O18" s="61" t="str">
        <x:v>https://growthmasala.com/website-development-hyderabad</x:v>
      </x:c>
      <x:c r="P18" s="61" t="str">
        <x:v>Medium</x:v>
      </x:c>
      <x:c r="Q18" s="73" t="n">
        <x:f>K18*3+IF(L18="",1,IF(L18&lt;=3,2,IF(L18&lt;=15,5,IF(L18&lt;=30,3,1))))+IF(H18="1K-10K",4,IF(H18="100-1K",3,IF(H18="&lt;100",2,1)))-IF(I18="Hard",2,IF(I18="Medium",1,0))</x:f>
        <x:v>12</x:v>
      </x:c>
      <x:c r="R18" s="61" t="str">
        <x:v>Use small-business project proof</x:v>
      </x:c>
      <x:c r="S18" s="61" t="str">
        <x:v>https://ahrefs.com/keyword-generator/</x:v>
      </x:c>
      <x:c r="T18" s="74" t="n">
        <x:v>46254</x:v>
      </x:c>
    </x:row>
    <x:row r="19">
      <x:c r="A19" s="61" t="str">
        <x:v>KW-015</x:v>
      </x:c>
      <x:c r="B19" s="61" t="str">
        <x:v>Website Development</x:v>
      </x:c>
      <x:c r="C19" s="61" t="str">
        <x:v>custom website development hyderabad</x:v>
      </x:c>
      <x:c r="D19" s="61" t="str">
        <x:v>Hyderabad</x:v>
      </x:c>
      <x:c r="E19" s="61" t="str">
        <x:v>BOFU</x:v>
      </x:c>
      <x:c r="F19" s="61" t="str">
        <x:v>Hire</x:v>
      </x:c>
      <x:c r="G19" s="61" t="str">
        <x:v>Ahrefs</x:v>
      </x:c>
      <x:c r="H19" s="61" t="str">
        <x:v>&lt;100</x:v>
      </x:c>
      <x:c r="I19" s="61" t="str">
        <x:v>Unknown</x:v>
      </x:c>
      <x:c r="J19" s="61" t="str">
        <x:v>Unknown</x:v>
      </x:c>
      <x:c r="K19" s="72" t="n">
        <x:v>2</x:v>
      </x:c>
      <x:c r="L19" s="72"/>
      <x:c r="M19" s="72" t="n">
        <x:v>10</x:v>
      </x:c>
      <x:c r="N19" s="61" t="str">
        <x:v>Planned</x:v>
      </x:c>
      <x:c r="O19" s="61" t="str">
        <x:v>https://growthmasala.com/website-development-hyderabad</x:v>
      </x:c>
      <x:c r="P19" s="61" t="str">
        <x:v>Medium</x:v>
      </x:c>
      <x:c r="Q19" s="73" t="n">
        <x:f>K19*3+IF(L19="",1,IF(L19&lt;=3,2,IF(L19&lt;=15,5,IF(L19&lt;=30,3,1))))+IF(H19="1K-10K",4,IF(H19="100-1K",3,IF(H19="&lt;100",2,1)))-IF(I19="Hard",2,IF(I19="Medium",1,0))</x:f>
        <x:v>9</x:v>
      </x:c>
      <x:c r="R19" s="61" t="str">
        <x:v>Only target naturally; no separate page without distinct proof</x:v>
      </x:c>
      <x:c r="S19" s="61" t="str">
        <x:v>https://ahrefs.com/keyword-generator/</x:v>
      </x:c>
      <x:c r="T19" s="74" t="n">
        <x:v>46254</x:v>
      </x:c>
    </x:row>
    <x:row r="20">
      <x:c r="A20" s="61" t="str">
        <x:v>KW-016</x:v>
      </x:c>
      <x:c r="B20" s="61" t="str">
        <x:v>Website Development</x:v>
      </x:c>
      <x:c r="C20" s="61" t="str">
        <x:v>wordpress website development hyderabad</x:v>
      </x:c>
      <x:c r="D20" s="61" t="str">
        <x:v>Hyderabad</x:v>
      </x:c>
      <x:c r="E20" s="61" t="str">
        <x:v>BOFU</x:v>
      </x:c>
      <x:c r="F20" s="61" t="str">
        <x:v>Hire</x:v>
      </x:c>
      <x:c r="G20" s="61" t="str">
        <x:v>Ahrefs</x:v>
      </x:c>
      <x:c r="H20" s="61" t="str">
        <x:v>&lt;100</x:v>
      </x:c>
      <x:c r="I20" s="61" t="str">
        <x:v>Unknown</x:v>
      </x:c>
      <x:c r="J20" s="61" t="str">
        <x:v>Unknown</x:v>
      </x:c>
      <x:c r="K20" s="72" t="n">
        <x:v>2</x:v>
      </x:c>
      <x:c r="L20" s="72"/>
      <x:c r="M20" s="72" t="n">
        <x:v>10</x:v>
      </x:c>
      <x:c r="N20" s="61" t="str">
        <x:v>Planned</x:v>
      </x:c>
      <x:c r="O20" s="61" t="str">
        <x:v>https://growthmasala.com/website-development-hyderabad</x:v>
      </x:c>
      <x:c r="P20" s="61" t="str">
        <x:v>Medium</x:v>
      </x:c>
      <x:c r="Q20" s="73" t="n">
        <x:f>K20*3+IF(L20="",1,IF(L20&lt;=3,2,IF(L20&lt;=15,5,IF(L20&lt;=30,3,1))))+IF(H20="1K-10K",4,IF(H20="100-1K",3,IF(H20="&lt;100",2,1)))-IF(I20="Hard",2,IF(I20="Medium",1,0))</x:f>
        <x:v>9</x:v>
      </x:c>
      <x:c r="R20" s="61" t="str">
        <x:v>Validate delivery fit before expanding</x:v>
      </x:c>
      <x:c r="S20" s="61" t="str">
        <x:v>https://ahrefs.com/keyword-generator/</x:v>
      </x:c>
      <x:c r="T20" s="74" t="n">
        <x:v>46254</x:v>
      </x:c>
    </x:row>
    <x:row r="21">
      <x:c r="A21" s="61" t="str">
        <x:v>KW-017</x:v>
      </x:c>
      <x:c r="B21" s="61" t="str">
        <x:v>Website Development</x:v>
      </x:c>
      <x:c r="C21" s="61" t="str">
        <x:v>ecommerce website development hyderabad</x:v>
      </x:c>
      <x:c r="D21" s="61" t="str">
        <x:v>Hyderabad</x:v>
      </x:c>
      <x:c r="E21" s="61" t="str">
        <x:v>BOFU</x:v>
      </x:c>
      <x:c r="F21" s="61" t="str">
        <x:v>Hire</x:v>
      </x:c>
      <x:c r="G21" s="61" t="str">
        <x:v>Ahrefs</x:v>
      </x:c>
      <x:c r="H21" s="61" t="str">
        <x:v>&lt;100</x:v>
      </x:c>
      <x:c r="I21" s="61" t="str">
        <x:v>Unknown</x:v>
      </x:c>
      <x:c r="J21" s="61" t="str">
        <x:v>Unknown</x:v>
      </x:c>
      <x:c r="K21" s="72" t="n">
        <x:v>2</x:v>
      </x:c>
      <x:c r="L21" s="72"/>
      <x:c r="M21" s="72" t="n">
        <x:v>10</x:v>
      </x:c>
      <x:c r="N21" s="61" t="str">
        <x:v>Planned</x:v>
      </x:c>
      <x:c r="O21" s="61" t="str">
        <x:v>https://growthmasala.com/website-development-hyderabad</x:v>
      </x:c>
      <x:c r="P21" s="61" t="str">
        <x:v>Medium</x:v>
      </x:c>
      <x:c r="Q21" s="73" t="n">
        <x:f>K21*3+IF(L21="",1,IF(L21&lt;=3,2,IF(L21&lt;=15,5,IF(L21&lt;=30,3,1))))+IF(H21="1K-10K",4,IF(H21="100-1K",3,IF(H21="&lt;100",2,1)))-IF(I21="Hard",2,IF(I21="Medium",1,0))</x:f>
        <x:v>9</x:v>
      </x:c>
      <x:c r="R21" s="61" t="str">
        <x:v>Require ecommerce case evidence before dedicated targeting</x:v>
      </x:c>
      <x:c r="S21" s="61" t="str">
        <x:v>https://ahrefs.com/keyword-generator/</x:v>
      </x:c>
      <x:c r="T21" s="74" t="n">
        <x:v>46254</x:v>
      </x:c>
    </x:row>
    <x:row r="22">
      <x:c r="A22" s="61" t="str">
        <x:v>KW-018</x:v>
      </x:c>
      <x:c r="B22" s="61" t="str">
        <x:v>Digital Marketing</x:v>
      </x:c>
      <x:c r="C22" s="61" t="str">
        <x:v>digital marketing agency hyderabad</x:v>
      </x:c>
      <x:c r="D22" s="61" t="str">
        <x:v>Hyderabad</x:v>
      </x:c>
      <x:c r="E22" s="61" t="str">
        <x:v>BOFU</x:v>
      </x:c>
      <x:c r="F22" s="61" t="str">
        <x:v>Hire</x:v>
      </x:c>
      <x:c r="G22" s="61" t="str">
        <x:v>Planner + Ahrefs</x:v>
      </x:c>
      <x:c r="H22" s="61" t="str">
        <x:v>1K-10K</x:v>
      </x:c>
      <x:c r="I22" s="61" t="str">
        <x:v>Hard</x:v>
      </x:c>
      <x:c r="J22" s="61" t="str">
        <x:v>Low</x:v>
      </x:c>
      <x:c r="K22" s="72" t="n">
        <x:v>2</x:v>
      </x:c>
      <x:c r="L22" s="72"/>
      <x:c r="M22" s="72" t="n">
        <x:v>10</x:v>
      </x:c>
      <x:c r="N22" s="61" t="str">
        <x:v>Planned</x:v>
      </x:c>
      <x:c r="O22" s="61" t="str">
        <x:v>https://growthmasala.com/digital-marketing-agency-hyderabad</x:v>
      </x:c>
      <x:c r="P22" s="61" t="str">
        <x:v>High</x:v>
      </x:c>
      <x:c r="Q22" s="73" t="n">
        <x:f>K22*3+IF(L22="",1,IF(L22&lt;=3,2,IF(L22&lt;=15,5,IF(L22&lt;=30,3,1))))+IF(H22="1K-10K",4,IF(H22="100-1K",3,IF(H22="&lt;100",2,1)))-IF(I22="Hard",2,IF(I22="Medium",1,0))</x:f>
        <x:v>9</x:v>
      </x:c>
      <x:c r="R22" s="61" t="str">
        <x:v>Long-term head term; authority target, not immediate quick win</x:v>
      </x:c>
      <x:c r="S22" s="61" t="str">
        <x:v>https://ahrefs.com/keyword-generator/</x:v>
      </x:c>
      <x:c r="T22" s="74" t="n">
        <x:v>46254</x:v>
      </x:c>
    </x:row>
    <x:row r="23">
      <x:c r="A23" s="61" t="str">
        <x:v>KW-019</x:v>
      </x:c>
      <x:c r="B23" s="61" t="str">
        <x:v>Digital Marketing</x:v>
      </x:c>
      <x:c r="C23" s="61" t="str">
        <x:v>digital marketing companies in hyderabad</x:v>
      </x:c>
      <x:c r="D23" s="61" t="str">
        <x:v>Hyderabad</x:v>
      </x:c>
      <x:c r="E23" s="61" t="str">
        <x:v>BOFU</x:v>
      </x:c>
      <x:c r="F23" s="61" t="str">
        <x:v>Compare providers</x:v>
      </x:c>
      <x:c r="G23" s="61" t="str">
        <x:v>Keyword Planner</x:v>
      </x:c>
      <x:c r="H23" s="61" t="str">
        <x:v>1K-10K</x:v>
      </x:c>
      <x:c r="I23" s="61" t="str">
        <x:v>Unknown</x:v>
      </x:c>
      <x:c r="J23" s="61" t="str">
        <x:v>Low</x:v>
      </x:c>
      <x:c r="K23" s="72" t="n">
        <x:v>2</x:v>
      </x:c>
      <x:c r="L23" s="72"/>
      <x:c r="M23" s="72" t="n">
        <x:v>10</x:v>
      </x:c>
      <x:c r="N23" s="61" t="str">
        <x:v>Planned</x:v>
      </x:c>
      <x:c r="O23" s="61" t="str">
        <x:v>https://growthmasala.com/digital-marketing-agency-hyderabad</x:v>
      </x:c>
      <x:c r="P23" s="61" t="str">
        <x:v>High</x:v>
      </x:c>
      <x:c r="Q23" s="73" t="n">
        <x:f>K23*3+IF(L23="",1,IF(L23&lt;=3,2,IF(L23&lt;=15,5,IF(L23&lt;=30,3,1))))+IF(H23="1K-10K",4,IF(H23="100-1K",3,IF(H23="&lt;100",2,1)))-IF(I23="Hard",2,IF(I23="Medium",1,0))</x:f>
        <x:v>11</x:v>
      </x:c>
      <x:c r="R23" s="61" t="str">
        <x:v>Pursue via third-party lists and reviews as well as site relevance</x:v>
      </x:c>
      <x:c r="S23" s="61" t="str">
        <x:v>https://ads.google.com/home/tools/keyword-planner/</x:v>
      </x:c>
      <x:c r="T23" s="74" t="n">
        <x:v>46254</x:v>
      </x:c>
    </x:row>
    <x:row r="24">
      <x:c r="A24" s="61" t="str">
        <x:v>KW-020</x:v>
      </x:c>
      <x:c r="B24" s="61" t="str">
        <x:v>Digital Marketing</x:v>
      </x:c>
      <x:c r="C24" s="61" t="str">
        <x:v>best digital marketing agency hyderabad</x:v>
      </x:c>
      <x:c r="D24" s="61" t="str">
        <x:v>Hyderabad</x:v>
      </x:c>
      <x:c r="E24" s="61" t="str">
        <x:v>BOFU</x:v>
      </x:c>
      <x:c r="F24" s="61" t="str">
        <x:v>Compare providers</x:v>
      </x:c>
      <x:c r="G24" s="61" t="str">
        <x:v>Planner + Ahrefs</x:v>
      </x:c>
      <x:c r="H24" s="61" t="str">
        <x:v>1K-10K</x:v>
      </x:c>
      <x:c r="I24" s="61" t="str">
        <x:v>Hard</x:v>
      </x:c>
      <x:c r="J24" s="61" t="str">
        <x:v>Low</x:v>
      </x:c>
      <x:c r="K24" s="72" t="n">
        <x:v>1</x:v>
      </x:c>
      <x:c r="L24" s="72"/>
      <x:c r="M24" s="72" t="n">
        <x:v>10</x:v>
      </x:c>
      <x:c r="N24" s="61" t="str">
        <x:v>On Hold</x:v>
      </x:c>
      <x:c r="O24" s="61" t="str">
        <x:v>https://growthmasala.com/digital-marketing-agency-hyderabad</x:v>
      </x:c>
      <x:c r="P24" s="61" t="str">
        <x:v>High</x:v>
      </x:c>
      <x:c r="Q24" s="73" t="n">
        <x:f>K24*3+IF(L24="",1,IF(L24&lt;=3,2,IF(L24&lt;=15,5,IF(L24&lt;=30,3,1))))+IF(H24="1K-10K",4,IF(H24="100-1K",3,IF(H24="&lt;100",2,1)))-IF(I24="Hard",2,IF(I24="Medium",1,0))</x:f>
        <x:v>6</x:v>
      </x:c>
      <x:c r="R24" s="61" t="str">
        <x:v>Do not self-declare best; earn independent review/list inclusion</x:v>
      </x:c>
      <x:c r="S24" s="61" t="str">
        <x:v>https://ads.google.com/home/tools/keyword-planner/</x:v>
      </x:c>
      <x:c r="T24" s="74" t="n">
        <x:v>46254</x:v>
      </x:c>
    </x:row>
    <x:row r="25">
      <x:c r="A25" s="61" t="str">
        <x:v>KW-021</x:v>
      </x:c>
      <x:c r="B25" s="61" t="str">
        <x:v>Digital Marketing</x:v>
      </x:c>
      <x:c r="C25" s="61" t="str">
        <x:v>top digital marketing companies in hyderabad</x:v>
      </x:c>
      <x:c r="D25" s="61" t="str">
        <x:v>Hyderabad</x:v>
      </x:c>
      <x:c r="E25" s="61" t="str">
        <x:v>BOFU</x:v>
      </x:c>
      <x:c r="F25" s="61" t="str">
        <x:v>Compare providers</x:v>
      </x:c>
      <x:c r="G25" s="61" t="str">
        <x:v>Keyword Planner</x:v>
      </x:c>
      <x:c r="H25" s="61" t="str">
        <x:v>100-1K</x:v>
      </x:c>
      <x:c r="I25" s="61" t="str">
        <x:v>Unknown</x:v>
      </x:c>
      <x:c r="J25" s="61" t="str">
        <x:v>Low</x:v>
      </x:c>
      <x:c r="K25" s="72" t="n">
        <x:v>1</x:v>
      </x:c>
      <x:c r="L25" s="72"/>
      <x:c r="M25" s="72" t="n">
        <x:v>10</x:v>
      </x:c>
      <x:c r="N25" s="61" t="str">
        <x:v>On Hold</x:v>
      </x:c>
      <x:c r="O25" s="61" t="str">
        <x:v>https://growthmasala.com/digital-marketing-agency-hyderabad</x:v>
      </x:c>
      <x:c r="P25" s="61" t="str">
        <x:v>High</x:v>
      </x:c>
      <x:c r="Q25" s="73" t="n">
        <x:f>K25*3+IF(L25="",1,IF(L25&lt;=3,2,IF(L25&lt;=15,5,IF(L25&lt;=30,3,1))))+IF(H25="1K-10K",4,IF(H25="100-1K",3,IF(H25="&lt;100",2,1)))-IF(I25="Hard",2,IF(I25="Medium",1,0))</x:f>
        <x:v>7</x:v>
      </x:c>
      <x:c r="R25" s="61" t="str">
        <x:v>Third-party comparison intent; focus on citations and reviews</x:v>
      </x:c>
      <x:c r="S25" s="61" t="str">
        <x:v>https://ads.google.com/home/tools/keyword-planner/</x:v>
      </x:c>
      <x:c r="T25" s="74" t="n">
        <x:v>46254</x:v>
      </x:c>
    </x:row>
    <x:row r="26">
      <x:c r="A26" s="61" t="str">
        <x:v>KW-022</x:v>
      </x:c>
      <x:c r="B26" s="61" t="str">
        <x:v>SEO</x:v>
      </x:c>
      <x:c r="C26" s="61" t="str">
        <x:v>seo services in hyderabad</x:v>
      </x:c>
      <x:c r="D26" s="61" t="str">
        <x:v>Hyderabad</x:v>
      </x:c>
      <x:c r="E26" s="61" t="str">
        <x:v>BOFU</x:v>
      </x:c>
      <x:c r="F26" s="61" t="str">
        <x:v>Hire</x:v>
      </x:c>
      <x:c r="G26" s="61" t="str">
        <x:v>Planner + Ahrefs</x:v>
      </x:c>
      <x:c r="H26" s="61" t="str">
        <x:v>100-1K</x:v>
      </x:c>
      <x:c r="I26" s="61" t="str">
        <x:v>Easy</x:v>
      </x:c>
      <x:c r="J26" s="61" t="str">
        <x:v>Low</x:v>
      </x:c>
      <x:c r="K26" s="72" t="n">
        <x:v>2</x:v>
      </x:c>
      <x:c r="L26" s="72"/>
      <x:c r="M26" s="72" t="n">
        <x:v>10</x:v>
      </x:c>
      <x:c r="N26" s="61" t="str">
        <x:v>On Hold</x:v>
      </x:c>
      <x:c r="O26" s="61" t="str">
        <x:v>Candidate: /seo-services-hyderabad</x:v>
      </x:c>
      <x:c r="P26" s="61" t="str">
        <x:v>High</x:v>
      </x:c>
      <x:c r="Q26" s="73" t="n">
        <x:f>K26*3+IF(L26="",1,IF(L26&lt;=3,2,IF(L26&lt;=15,5,IF(L26&lt;=30,3,1))))+IF(H26="1K-10K",4,IF(H26="100-1K",3,IF(H26="&lt;100",2,1)))-IF(I26="Hard",2,IF(I26="Medium",1,0))</x:f>
        <x:v>10</x:v>
      </x:c>
      <x:c r="R26" s="61" t="str">
        <x:v>Phase two only after independent SEO proof</x:v>
      </x:c>
      <x:c r="S26" s="61" t="str">
        <x:v>https://ads.google.com/home/tools/keyword-planner/</x:v>
      </x:c>
      <x:c r="T26" s="74" t="n">
        <x:v>46254</x:v>
      </x:c>
    </x:row>
    <x:row r="27">
      <x:c r="A27" s="61" t="str">
        <x:v>KW-023</x:v>
      </x:c>
      <x:c r="B27" s="61" t="str">
        <x:v>SEO</x:v>
      </x:c>
      <x:c r="C27" s="61" t="str">
        <x:v>local seo services hyderabad</x:v>
      </x:c>
      <x:c r="D27" s="61" t="str">
        <x:v>Hyderabad</x:v>
      </x:c>
      <x:c r="E27" s="61" t="str">
        <x:v>BOFU</x:v>
      </x:c>
      <x:c r="F27" s="61" t="str">
        <x:v>Hire</x:v>
      </x:c>
      <x:c r="G27" s="61" t="str">
        <x:v>Ahrefs/PAA</x:v>
      </x:c>
      <x:c r="H27" s="61" t="str">
        <x:v>&lt;100</x:v>
      </x:c>
      <x:c r="I27" s="61" t="str">
        <x:v>Unknown</x:v>
      </x:c>
      <x:c r="J27" s="61" t="str">
        <x:v>Unknown</x:v>
      </x:c>
      <x:c r="K27" s="72" t="n">
        <x:v>2</x:v>
      </x:c>
      <x:c r="L27" s="72"/>
      <x:c r="M27" s="72" t="n">
        <x:v>10</x:v>
      </x:c>
      <x:c r="N27" s="61" t="str">
        <x:v>On Hold</x:v>
      </x:c>
      <x:c r="O27" s="61" t="str">
        <x:v>Candidate: /seo-services-hyderabad</x:v>
      </x:c>
      <x:c r="P27" s="61" t="str">
        <x:v>Medium</x:v>
      </x:c>
      <x:c r="Q27" s="73" t="n">
        <x:f>K27*3+IF(L27="",1,IF(L27&lt;=3,2,IF(L27&lt;=15,5,IF(L27&lt;=30,3,1))))+IF(H27="1K-10K",4,IF(H27="100-1K",3,IF(H27="&lt;100",2,1)))-IF(I27="Hard",2,IF(I27="Medium",1,0))</x:f>
        <x:v>9</x:v>
      </x:c>
      <x:c r="R27" s="61" t="str">
        <x:v>Validate demand and proof before new page</x:v>
      </x:c>
      <x:c r="S27" s="61" t="str">
        <x:v>https://www.google.com/search?q=local+seo+services+hyderabad</x:v>
      </x:c>
      <x:c r="T27" s="74" t="n">
        <x:v>46254</x:v>
      </x:c>
    </x:row>
    <x:row r="28">
      <x:c r="A28" s="61" t="str">
        <x:v>KW-024</x:v>
      </x:c>
      <x:c r="B28" s="61" t="str">
        <x:v>Website Cost</x:v>
      </x:c>
      <x:c r="C28" s="61" t="str">
        <x:v>website design cost hyderabad</x:v>
      </x:c>
      <x:c r="D28" s="61" t="str">
        <x:v>Hyderabad</x:v>
      </x:c>
      <x:c r="E28" s="61" t="str">
        <x:v>MOFU</x:v>
      </x:c>
      <x:c r="F28" s="61" t="str">
        <x:v>Compare price</x:v>
      </x:c>
      <x:c r="G28" s="61" t="str">
        <x:v>Existing GSC page data</x:v>
      </x:c>
      <x:c r="H28" s="61" t="str">
        <x:v>Unknown</x:v>
      </x:c>
      <x:c r="I28" s="61" t="str">
        <x:v>Unknown</x:v>
      </x:c>
      <x:c r="J28" s="61" t="str">
        <x:v>Unknown</x:v>
      </x:c>
      <x:c r="K28" s="72" t="n">
        <x:v>3</x:v>
      </x:c>
      <x:c r="L28" s="72"/>
      <x:c r="M28" s="72" t="n">
        <x:v>10</x:v>
      </x:c>
      <x:c r="N28" s="61" t="str">
        <x:v>Monitoring</x:v>
      </x:c>
      <x:c r="O28" s="61" t="str">
        <x:v>https://growthmasala.com/blog/website-design-cost-hyderabad</x:v>
      </x:c>
      <x:c r="P28" s="61" t="str">
        <x:v>Medium</x:v>
      </x:c>
      <x:c r="Q28" s="73" t="n">
        <x:f>K28*3+IF(L28="",1,IF(L28&lt;=3,2,IF(L28&lt;=15,5,IF(L28&lt;=30,3,1))))+IF(H28="1K-10K",4,IF(H28="100-1K",3,IF(H28="&lt;100",2,1)))-IF(I28="Hard",2,IF(I28="Medium",1,0))</x:f>
        <x:v>11</x:v>
      </x:c>
      <x:c r="R28" s="61" t="str">
        <x:v>Observe impressions; distribute original supporting insights</x:v>
      </x:c>
      <x:c r="S28" s="61" t="str">
        <x:v>https://search.google.com/search-console</x:v>
      </x:c>
      <x:c r="T28" s="74" t="n">
        <x:v>46254</x:v>
      </x:c>
    </x:row>
    <x:row r="29">
      <x:c r="A29" s="61" t="str">
        <x:v>KW-025</x:v>
      </x:c>
      <x:c r="B29" s="61" t="str">
        <x:v>Website Cost</x:v>
      </x:c>
      <x:c r="C29" s="61" t="str">
        <x:v>5 page website cost india</x:v>
      </x:c>
      <x:c r="D29" s="61" t="str">
        <x:v>India</x:v>
      </x:c>
      <x:c r="E29" s="61" t="str">
        <x:v>MOFU</x:v>
      </x:c>
      <x:c r="F29" s="61" t="str">
        <x:v>Compare price</x:v>
      </x:c>
      <x:c r="G29" s="61" t="str">
        <x:v>Manual SERP</x:v>
      </x:c>
      <x:c r="H29" s="61" t="str">
        <x:v>Unknown</x:v>
      </x:c>
      <x:c r="I29" s="61" t="str">
        <x:v>Unknown</x:v>
      </x:c>
      <x:c r="J29" s="61" t="str">
        <x:v>Unknown</x:v>
      </x:c>
      <x:c r="K29" s="72" t="n">
        <x:v>3</x:v>
      </x:c>
      <x:c r="L29" s="72"/>
      <x:c r="M29" s="72" t="n">
        <x:v>10</x:v>
      </x:c>
      <x:c r="N29" s="61" t="str">
        <x:v>Monitoring</x:v>
      </x:c>
      <x:c r="O29" s="61" t="str">
        <x:v>https://growthmasala.com/blog/5-page-website-cost-india</x:v>
      </x:c>
      <x:c r="P29" s="61" t="str">
        <x:v>High</x:v>
      </x:c>
      <x:c r="Q29" s="73" t="n">
        <x:f>K29*3+IF(L29="",1,IF(L29&lt;=3,2,IF(L29&lt;=15,5,IF(L29&lt;=30,3,1))))+IF(H29="1K-10K",4,IF(H29="100-1K",3,IF(H29="&lt;100",2,1)))-IF(I29="Hard",2,IF(I29="Medium",1,0))</x:f>
        <x:v>11</x:v>
      </x:c>
      <x:c r="R29" s="61" t="str">
        <x:v>National scale candidate; not page one yet</x:v>
      </x:c>
      <x:c r="S29" s="61" t="str">
        <x:v>https://www.google.com/search?q=5+page+website+cost+india</x:v>
      </x:c>
      <x:c r="T29" s="74" t="n">
        <x:v>46254</x:v>
      </x:c>
    </x:row>
    <x:row r="30">
      <x:c r="A30" s="61" t="str">
        <x:v>KW-026</x:v>
      </x:c>
      <x:c r="B30" s="61" t="str">
        <x:v>Website Buying</x:v>
      </x:c>
      <x:c r="C30" s="61" t="str">
        <x:v>what should a website quotation include</x:v>
      </x:c>
      <x:c r="D30" s="61" t="str">
        <x:v>India</x:v>
      </x:c>
      <x:c r="E30" s="61" t="str">
        <x:v>MOFU</x:v>
      </x:c>
      <x:c r="F30" s="61" t="str">
        <x:v>Evaluate scope</x:v>
      </x:c>
      <x:c r="G30" s="61" t="str">
        <x:v>Audience research</x:v>
      </x:c>
      <x:c r="H30" s="61" t="str">
        <x:v>Research needed</x:v>
      </x:c>
      <x:c r="I30" s="61" t="str">
        <x:v>Unknown</x:v>
      </x:c>
      <x:c r="J30" s="61" t="str">
        <x:v>Unknown</x:v>
      </x:c>
      <x:c r="K30" s="72" t="n">
        <x:v>3</x:v>
      </x:c>
      <x:c r="L30" s="72"/>
      <x:c r="M30" s="72" t="n">
        <x:v>10</x:v>
      </x:c>
      <x:c r="N30" s="61" t="str">
        <x:v>Planned</x:v>
      </x:c>
      <x:c r="O30" s="61" t="str">
        <x:v>Proposed guide</x:v>
      </x:c>
      <x:c r="P30" s="61" t="str">
        <x:v>Medium</x:v>
      </x:c>
      <x:c r="Q30" s="73" t="n">
        <x:f>K30*3+IF(L30="",1,IF(L30&lt;=3,2,IF(L30&lt;=15,5,IF(L30&lt;=30,3,1))))+IF(H30="1K-10K",4,IF(H30="100-1K",3,IF(H30="&lt;100",2,1)))-IF(I30="Hard",2,IF(I30="Medium",1,0))</x:f>
        <x:v>11</x:v>
      </x:c>
      <x:c r="R30" s="61" t="str">
        <x:v>Original guide using real quotation structure</x:v>
      </x:c>
      <x:c r="S30" s="61" t="str">
        <x:v>https://www.reddit.com/r/hyderabad/comments/1t1i8as/looking_for_website_developer_in_hyderabad/</x:v>
      </x:c>
      <x:c r="T30" s="74" t="n">
        <x:v>46254</x:v>
      </x:c>
    </x:row>
    <x:row r="31">
      <x:c r="A31" s="61" t="str">
        <x:v>KW-027</x:v>
      </x:c>
      <x:c r="B31" s="61" t="str">
        <x:v>Website Cost</x:v>
      </x:c>
      <x:c r="C31" s="61" t="str">
        <x:v>website renewal cost india</x:v>
      </x:c>
      <x:c r="D31" s="61" t="str">
        <x:v>India</x:v>
      </x:c>
      <x:c r="E31" s="61" t="str">
        <x:v>MOFU</x:v>
      </x:c>
      <x:c r="F31" s="61" t="str">
        <x:v>Compare lifetime cost</x:v>
      </x:c>
      <x:c r="G31" s="61" t="str">
        <x:v>Audience research</x:v>
      </x:c>
      <x:c r="H31" s="61" t="str">
        <x:v>Research needed</x:v>
      </x:c>
      <x:c r="I31" s="61" t="str">
        <x:v>Unknown</x:v>
      </x:c>
      <x:c r="J31" s="61" t="str">
        <x:v>Unknown</x:v>
      </x:c>
      <x:c r="K31" s="72" t="n">
        <x:v>3</x:v>
      </x:c>
      <x:c r="L31" s="72"/>
      <x:c r="M31" s="72" t="n">
        <x:v>10</x:v>
      </x:c>
      <x:c r="N31" s="61" t="str">
        <x:v>Planned</x:v>
      </x:c>
      <x:c r="O31" s="61" t="str">
        <x:v>Proposed guide</x:v>
      </x:c>
      <x:c r="P31" s="61" t="str">
        <x:v>Medium</x:v>
      </x:c>
      <x:c r="Q31" s="73" t="n">
        <x:f>K31*3+IF(L31="",1,IF(L31&lt;=3,2,IF(L31&lt;=15,5,IF(L31&lt;=30,3,1))))+IF(H31="1K-10K",4,IF(H31="100-1K",3,IF(H31="&lt;100",2,1)))-IF(I31="Hard",2,IF(I31="Medium",1,0))</x:f>
        <x:v>11</x:v>
      </x:c>
      <x:c r="R31" s="61" t="str">
        <x:v>Explain domain, hosting, maintenance and email renewals</x:v>
      </x:c>
      <x:c r="S31" s="61" t="str">
        <x:v>https://www.google.com/search?q=website+renewal+cost+india</x:v>
      </x:c>
      <x:c r="T31" s="74" t="n">
        <x:v>46254</x:v>
      </x:c>
    </x:row>
    <x:row r="32">
      <x:c r="A32" s="61" t="str">
        <x:v>KW-028</x:v>
      </x:c>
      <x:c r="B32" s="61" t="str">
        <x:v>Website Buying</x:v>
      </x:c>
      <x:c r="C32" s="61" t="str">
        <x:v>how to choose a website developer hyderabad</x:v>
      </x:c>
      <x:c r="D32" s="61" t="str">
        <x:v>Hyderabad</x:v>
      </x:c>
      <x:c r="E32" s="61" t="str">
        <x:v>MOFU</x:v>
      </x:c>
      <x:c r="F32" s="61" t="str">
        <x:v>Evaluate vendor</x:v>
      </x:c>
      <x:c r="G32" s="61" t="str">
        <x:v>Reddit + SERP</x:v>
      </x:c>
      <x:c r="H32" s="61" t="str">
        <x:v>Research needed</x:v>
      </x:c>
      <x:c r="I32" s="61" t="str">
        <x:v>Unknown</x:v>
      </x:c>
      <x:c r="J32" s="61" t="str">
        <x:v>Unknown</x:v>
      </x:c>
      <x:c r="K32" s="72" t="n">
        <x:v>3</x:v>
      </x:c>
      <x:c r="L32" s="72"/>
      <x:c r="M32" s="72" t="n">
        <x:v>10</x:v>
      </x:c>
      <x:c r="N32" s="61" t="str">
        <x:v>Planned</x:v>
      </x:c>
      <x:c r="O32" s="61" t="str">
        <x:v>Proposed guide</x:v>
      </x:c>
      <x:c r="P32" s="61" t="str">
        <x:v>Medium</x:v>
      </x:c>
      <x:c r="Q32" s="73" t="n">
        <x:f>K32*3+IF(L32="",1,IF(L32&lt;=3,2,IF(L32&lt;=15,5,IF(L32&lt;=30,3,1))))+IF(H32="1K-10K",4,IF(H32="100-1K",3,IF(H32="&lt;100",2,1)))-IF(I32="Hard",2,IF(I32="Medium",1,0))</x:f>
        <x:v>11</x:v>
      </x:c>
      <x:c r="R32" s="61" t="str">
        <x:v>Portfolio, ownership, speed, communication and support checklist</x:v>
      </x:c>
      <x:c r="S32" s="61" t="str">
        <x:v>https://www.reddit.com/r/hyderabad/comments/1qmg7a2/any_good_website_designersdevelopers_in_hyderabad/</x:v>
      </x:c>
      <x:c r="T32" s="74" t="n">
        <x:v>46254</x:v>
      </x:c>
    </x:row>
    <x:row r="33">
      <x:c r="A33" s="61" t="str">
        <x:v>KW-029</x:v>
      </x:c>
      <x:c r="B33" s="61" t="str">
        <x:v>Website Strategy</x:v>
      </x:c>
      <x:c r="C33" s="61" t="str">
        <x:v>why my business website is not generating leads</x:v>
      </x:c>
      <x:c r="D33" s="61" t="str">
        <x:v>India</x:v>
      </x:c>
      <x:c r="E33" s="61" t="str">
        <x:v>TOFU/MOFU</x:v>
      </x:c>
      <x:c r="F33" s="61" t="str">
        <x:v>Diagnose problem</x:v>
      </x:c>
      <x:c r="G33" s="61" t="str">
        <x:v>Audience research</x:v>
      </x:c>
      <x:c r="H33" s="61" t="str">
        <x:v>Research needed</x:v>
      </x:c>
      <x:c r="I33" s="61" t="str">
        <x:v>Unknown</x:v>
      </x:c>
      <x:c r="J33" s="61" t="str">
        <x:v>Unknown</x:v>
      </x:c>
      <x:c r="K33" s="72" t="n">
        <x:v>3</x:v>
      </x:c>
      <x:c r="L33" s="72"/>
      <x:c r="M33" s="72" t="n">
        <x:v>10</x:v>
      </x:c>
      <x:c r="N33" s="61" t="str">
        <x:v>Planned</x:v>
      </x:c>
      <x:c r="O33" s="61" t="str">
        <x:v>Proposed diagnostic guide</x:v>
      </x:c>
      <x:c r="P33" s="61" t="str">
        <x:v>Medium</x:v>
      </x:c>
      <x:c r="Q33" s="73" t="n">
        <x:f>K33*3+IF(L33="",1,IF(L33&lt;=3,2,IF(L33&lt;=15,5,IF(L33&lt;=30,3,1))))+IF(H33="1K-10K",4,IF(H33="100-1K",3,IF(H33="&lt;100",2,1)))-IF(I33="Hard",2,IF(I33="Medium",1,0))</x:f>
        <x:v>11</x:v>
      </x:c>
      <x:c r="R33" s="61" t="str">
        <x:v>Use real lead-path diagnostics and measurement examples</x:v>
      </x:c>
      <x:c r="S33" s="61" t="str">
        <x:v>https://www.google.com/search?q=why+my+business+website+is+not+generating+leads</x:v>
      </x:c>
      <x:c r="T33" s="74" t="n">
        <x:v>46254</x:v>
      </x:c>
    </x:row>
    <x:row r="34">
      <x:c r="A34" s="62" t="str">
        <x:v>KW-030</x:v>
      </x:c>
      <x:c r="B34" s="62" t="str">
        <x:v>Website Tool</x:v>
      </x:c>
      <x:c r="C34" s="62" t="str">
        <x:v>website cost calculator india</x:v>
      </x:c>
      <x:c r="D34" s="62" t="str">
        <x:v>India</x:v>
      </x:c>
      <x:c r="E34" s="62" t="str">
        <x:v>MOFU</x:v>
      </x:c>
      <x:c r="F34" s="62" t="str">
        <x:v>Estimate price</x:v>
      </x:c>
      <x:c r="G34" s="62" t="str">
        <x:v>Product-led SEO hypothesis</x:v>
      </x:c>
      <x:c r="H34" s="62" t="str">
        <x:v>Research needed</x:v>
      </x:c>
      <x:c r="I34" s="62" t="str">
        <x:v>Unknown</x:v>
      </x:c>
      <x:c r="J34" s="62" t="str">
        <x:v>Unknown</x:v>
      </x:c>
      <x:c r="K34" s="75" t="n">
        <x:v>3</x:v>
      </x:c>
      <x:c r="L34" s="75"/>
      <x:c r="M34" s="75" t="n">
        <x:v>5</x:v>
      </x:c>
      <x:c r="N34" s="62" t="str">
        <x:v>Planned</x:v>
      </x:c>
      <x:c r="O34" s="62" t="str">
        <x:v>Proposed interactive calculator</x:v>
      </x:c>
      <x:c r="P34" s="62" t="str">
        <x:v>Low</x:v>
      </x:c>
      <x:c r="Q34" s="76" t="n">
        <x:f>K34*3+IF(L34="",1,IF(L34&lt;=3,2,IF(L34&lt;=15,5,IF(L34&lt;=30,3,1))))+IF(H34="1K-10K",4,IF(H34="100-1K",3,IF(H34="&lt;100",2,1)))-IF(I34="Hard",2,IF(I34="Medium",1,0))</x:f>
        <x:v>11</x:v>
      </x:c>
      <x:c r="R34" s="62" t="str">
        <x:v>Validate volume and SERP; highest scalable product-led opportunity</x:v>
      </x:c>
      <x:c r="S34" s="62" t="str">
        <x:v>https://www.youtube.com/watch?v=KjK5-L-wDVg</x:v>
      </x:c>
      <x:c r="T34" s="77" t="n">
        <x:v>46254</x:v>
      </x:c>
    </x:row>
    <x:row r="35" ht="32" customHeight="1">
      <x:c r="A35" t="str">
        <x:v>KW-031</x:v>
      </x:c>
      <x:c r="B35" t="str">
        <x:v>Website Development</x:v>
      </x:c>
      <x:c r="C35" t="str">
        <x:v>website designer hyderabad</x:v>
      </x:c>
      <x:c r="D35" t="str">
        <x:v>Hyderabad</x:v>
      </x:c>
      <x:c r="E35" t="str">
        <x:v>BOFU</x:v>
      </x:c>
      <x:c r="F35" t="str">
        <x:v>Hire</x:v>
      </x:c>
      <x:c r="G35" t="str">
        <x:v>GSC + manual SERP</x:v>
      </x:c>
      <x:c r="H35" t="str">
        <x:v>1 GSC impression / 7d</x:v>
      </x:c>
      <x:c r="I35" t="str">
        <x:v>Unknown</x:v>
      </x:c>
      <x:c r="J35" t="str">
        <x:v>Unknown</x:v>
      </x:c>
      <x:c r="K35" t="n">
        <x:v>3</x:v>
      </x:c>
      <x:c r="L35"/>
      <x:c r="M35" t="n">
        <x:v>10</x:v>
      </x:c>
      <x:c r="N35" t="str">
        <x:v>Monitoring</x:v>
      </x:c>
      <x:c r="O35" t="str">
        <x:v>https://growthmasala.com/website-development-hyderabad</x:v>
      </x:c>
      <x:c r="P35" t="str">
        <x:v>Medium</x:v>
      </x:c>
      <x:c r="Q35" t="n">
        <x:f>K35*3+IF(L35="",1,IF(L35&lt;=3,2,IF(L35&lt;=15,5,IF(L35&lt;=30,3,1))))+IF(H35="1K-10K",4,IF(H35="100-1K",3,IF(H35="&lt;100",2,1)))-IF(I35="Hard",2,IF(I35="Medium",1,0))</x:f>
        <x:v>11</x:v>
      </x:c>
      <x:c r="R35" s="29" t="str">
        <x:v>Use existing Hyderabad cost and buyer-decision assets for distribution; observe before page edits</x:v>
      </x:c>
      <x:c r="S35" t="str">
        <x:v>https://search.google.com/search-console</x:v>
      </x:c>
      <x:c r="T35" s="37" t="n">
        <x:v>46258</x:v>
      </x:c>
    </x:row>
  </x:sheetData>
  <x:mergeCells>
    <x:mergeCell ref="A1:T1"/>
    <x:mergeCell ref="A2:T2"/>
  </x:mergeCells>
  <x:conditionalFormatting sqref="N5:N34">
    <x:cfRule type="containsText" dxfId="0" priority="1" operator="containsText" text="Won"/>
    <x:cfRule type="containsText" dxfId="1" priority="2" operator="containsText" text="Complete"/>
    <x:cfRule type="containsText" dxfId="2" priority="3" operator="containsText" text="In Progress"/>
    <x:cfRule type="containsText" dxfId="3" priority="4" operator="containsText" text="Monitoring"/>
    <x:cfRule type="containsText" dxfId="4" priority="5" operator="containsText" text="On Hold"/>
    <x:cfRule type="containsText" dxfId="5" priority="6" operator="containsText" text="Rejected"/>
  </x:conditionalFormatting>
  <x:conditionalFormatting sqref="Q5:Q34">
    <x:cfRule type="colorScale" priority="7">
      <x:colorScale>
        <x:cfvo type="min"/>
        <x:cfvo type="percentile" val="50"/>
        <x:cfvo type="max"/>
        <x:color rgb="FFFDECEC"/>
        <x:color rgb="FFFFF7D6"/>
        <x:color rgb="FFEAF8EF"/>
      </x:colorScale>
    </x:cfRule>
  </x:conditionalFormatting>
  <x:dataValidations count="1">
    <x:dataValidation type="list" sqref="N5:N34">
      <x:formula1>"Not Started,Planned,In Progress,Monitoring,Won,Published,Complete,On 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bfc12786de4b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22" hidden="0" customWidth="1"/>
    <x:col min="4" max="4" width="12" hidden="0" customWidth="1"/>
    <x:col min="5" max="5" width="14" hidden="0" customWidth="1"/>
    <x:col min="6" max="6" width="38" hidden="0" customWidth="1"/>
    <x:col min="7" max="7" width="45" hidden="0" customWidth="1"/>
    <x:col min="8" max="8" width="9" hidden="0" customWidth="1"/>
    <x:col min="9" max="9" width="12" hidden="0" customWidth="1"/>
    <x:col min="10" max="10" width="10" hidden="0" customWidth="1"/>
    <x:col min="11" max="11" width="10" hidden="0" customWidth="1"/>
    <x:col min="12" max="12" width="14" hidden="0" customWidth="1"/>
    <x:col min="13" max="13" width="24" hidden="0" customWidth="1"/>
    <x:col min="14" max="14" width="34" hidden="0" customWidth="1"/>
    <x:col min="15" max="15" width="40" hidden="0" customWidth="1"/>
    <x:col min="16" max="16" width="16" hidden="0" customWidth="1"/>
  </x:cols>
  <x:sheetData>
    <x:row r="1" ht="34" customHeight="1">
      <x:c r="A1" s="3" t="str">
        <x:v>Manual Rank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Record reproducible checks weekly. Blank rank means not found in the reviewed range; it does not prove an exact rank beyond that range.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14" t="str">
        <x:v>Check Date</x:v>
      </x:c>
      <x:c r="B4" s="21" t="str">
        <x:v>Engine</x:v>
      </x:c>
      <x:c r="C4" s="21" t="str">
        <x:v>Country / City</x:v>
      </x:c>
      <x:c r="D4" s="21" t="str">
        <x:v>Device</x:v>
      </x:c>
      <x:c r="E4" s="21" t="str">
        <x:v>Depersonalised</x:v>
      </x:c>
      <x:c r="F4" s="21" t="str">
        <x:v>Keyword</x:v>
      </x:c>
      <x:c r="G4" s="21" t="str">
        <x:v>Target Page</x:v>
      </x:c>
      <x:c r="H4" s="21" t="str">
        <x:v>Rank</x:v>
      </x:c>
      <x:c r="I4" s="21" t="str">
        <x:v>Previous Rank</x:v>
      </x:c>
      <x:c r="J4" s="21" t="str">
        <x:v>Change</x:v>
      </x:c>
      <x:c r="K4" s="21" t="str">
        <x:v>SERP Page</x:v>
      </x:c>
      <x:c r="L4" s="21" t="str">
        <x:v>Result Status</x:v>
      </x:c>
      <x:c r="M4" s="21" t="str">
        <x:v>SERP Features</x:v>
      </x:c>
      <x:c r="N4" s="21" t="str">
        <x:v>Observed URL</x:v>
      </x:c>
      <x:c r="O4" s="21" t="str">
        <x:v>Method Notes</x:v>
      </x:c>
      <x:c r="P4" s="15" t="str">
        <x:v>Source</x:v>
      </x:c>
    </x:row>
    <x:row r="5">
      <x:c r="A5" s="71" t="n">
        <x:v>46254</x:v>
      </x:c>
      <x:c r="B5" s="60" t="str">
        <x:v>Google</x:v>
      </x:c>
      <x:c r="C5" s="60" t="str">
        <x:v>India / Mahabubnagar</x:v>
      </x:c>
      <x:c r="D5" s="60" t="str">
        <x:v>Desktop</x:v>
      </x:c>
      <x:c r="E5" s="60" t="str">
        <x:v>Yes</x:v>
      </x:c>
      <x:c r="F5" s="60" t="str">
        <x:v>meta ads agency in mahabubnagar</x:v>
      </x:c>
      <x:c r="G5" s="60" t="str">
        <x:v>https://growthmasala.com/meta-ads-mahabubnagar</x:v>
      </x:c>
      <x:c r="H5" s="60" t="n">
        <x:v>1</x:v>
      </x:c>
      <x:c r="I5" s="60"/>
      <x:c r="J5" s="81" t="str">
        <x:f>IF(OR(H5="",I5=""),"",I5-H5)</x:f>
      </x:c>
      <x:c r="K5" s="81" t="n">
        <x:f>IF(H5="","",ROUNDUP(H5/10,0))</x:f>
        <x:v>1</x:v>
      </x:c>
      <x:c r="L5" s="60" t="str">
        <x:v>Found</x:v>
      </x:c>
      <x:c r="M5" s="60" t="str">
        <x:v>Organic + local results</x:v>
      </x:c>
      <x:c r="N5" s="60" t="str">
        <x:v>Growth Masala service page</x:v>
      </x:c>
      <x:c r="O5" s="60" t="str">
        <x:v>Unpersonalised city-qualified check</x:v>
      </x:c>
      <x:c r="P5" s="60" t="str">
        <x:v>Manual check</x:v>
      </x:c>
    </x:row>
    <x:row r="6">
      <x:c r="A6" s="74" t="n">
        <x:v>46254</x:v>
      </x:c>
      <x:c r="B6" s="61" t="str">
        <x:v>Google</x:v>
      </x:c>
      <x:c r="C6" s="61" t="str">
        <x:v>India / Mahabubnagar</x:v>
      </x:c>
      <x:c r="D6" s="61" t="str">
        <x:v>Desktop</x:v>
      </x:c>
      <x:c r="E6" s="61" t="str">
        <x:v>Yes</x:v>
      </x:c>
      <x:c r="F6" s="61" t="str">
        <x:v>website design cost mahabubnagar</x:v>
      </x:c>
      <x:c r="G6" s="61" t="str">
        <x:v>https://growthmasala.com/blog/website-design-cost-mahabubnagar</x:v>
      </x:c>
      <x:c r="H6" s="61" t="n">
        <x:v>2</x:v>
      </x:c>
      <x:c r="I6" s="61"/>
      <x:c r="J6" s="82" t="str">
        <x:f>IF(OR(H6="",I6=""),"",I6-H6)</x:f>
      </x:c>
      <x:c r="K6" s="82" t="n">
        <x:f>IF(H6="","",ROUNDUP(H6/10,0))</x:f>
        <x:v>1</x:v>
      </x:c>
      <x:c r="L6" s="61" t="str">
        <x:v>Found</x:v>
      </x:c>
      <x:c r="M6" s="61" t="str">
        <x:v>Organic</x:v>
      </x:c>
      <x:c r="N6" s="61" t="str">
        <x:v>Growth Masala cost guide</x:v>
      </x:c>
      <x:c r="O6" s="61" t="str">
        <x:v>Unpersonalised city-qualified check</x:v>
      </x:c>
      <x:c r="P6" s="61" t="str">
        <x:v>Manual check</x:v>
      </x:c>
    </x:row>
    <x:row r="7">
      <x:c r="A7" s="74" t="n">
        <x:v>46254</x:v>
      </x:c>
      <x:c r="B7" s="61" t="str">
        <x:v>Google</x:v>
      </x:c>
      <x:c r="C7" s="61" t="str">
        <x:v>India / Jadcherla</x:v>
      </x:c>
      <x:c r="D7" s="61" t="str">
        <x:v>Desktop</x:v>
      </x:c>
      <x:c r="E7" s="61" t="str">
        <x:v>Yes</x:v>
      </x:c>
      <x:c r="F7" s="61" t="str">
        <x:v>digital marketing agency jadcherla</x:v>
      </x:c>
      <x:c r="G7" s="61" t="str">
        <x:v>https://growthmasala.com/digital-marketing-agency-jadcherla</x:v>
      </x:c>
      <x:c r="H7" s="61" t="n">
        <x:v>2</x:v>
      </x:c>
      <x:c r="I7" s="61"/>
      <x:c r="J7" s="82" t="str">
        <x:f>IF(OR(H7="",I7=""),"",I7-H7)</x:f>
      </x:c>
      <x:c r="K7" s="82" t="n">
        <x:f>IF(H7="","",ROUNDUP(H7/10,0))</x:f>
        <x:v>1</x:v>
      </x:c>
      <x:c r="L7" s="61" t="str">
        <x:v>Found</x:v>
      </x:c>
      <x:c r="M7" s="61" t="str">
        <x:v>Organic + local results</x:v>
      </x:c>
      <x:c r="N7" s="61" t="str">
        <x:v>Growth Masala location page</x:v>
      </x:c>
      <x:c r="O7" s="61" t="str">
        <x:v>Unpersonalised city-qualified check</x:v>
      </x:c>
      <x:c r="P7" s="61" t="str">
        <x:v>Manual check</x:v>
      </x:c>
    </x:row>
    <x:row r="8">
      <x:c r="A8" s="74" t="n">
        <x:v>46254</x:v>
      </x:c>
      <x:c r="B8" s="61" t="str">
        <x:v>Google</x:v>
      </x:c>
      <x:c r="C8" s="61" t="str">
        <x:v>India / Mahabubnagar</x:v>
      </x:c>
      <x:c r="D8" s="61" t="str">
        <x:v>Desktop</x:v>
      </x:c>
      <x:c r="E8" s="61" t="str">
        <x:v>Yes</x:v>
      </x:c>
      <x:c r="F8" s="61" t="str">
        <x:v>social media marketing in mahabubnagar</x:v>
      </x:c>
      <x:c r="G8" s="61" t="str">
        <x:v>https://growthmasala.com/social-media-marketing-mahabubnagar</x:v>
      </x:c>
      <x:c r="H8" s="61" t="n">
        <x:v>3</x:v>
      </x:c>
      <x:c r="I8" s="61"/>
      <x:c r="J8" s="82" t="str">
        <x:f>IF(OR(H8="",I8=""),"",I8-H8)</x:f>
      </x:c>
      <x:c r="K8" s="82" t="n">
        <x:f>IF(H8="","",ROUNDUP(H8/10,0))</x:f>
        <x:v>1</x:v>
      </x:c>
      <x:c r="L8" s="61" t="str">
        <x:v>Found</x:v>
      </x:c>
      <x:c r="M8" s="61" t="str">
        <x:v>Organic + local results</x:v>
      </x:c>
      <x:c r="N8" s="61" t="str">
        <x:v>Growth Masala service page</x:v>
      </x:c>
      <x:c r="O8" s="61" t="str">
        <x:v>Unpersonalised city-qualified check</x:v>
      </x:c>
      <x:c r="P8" s="61" t="str">
        <x:v>Manual check</x:v>
      </x:c>
    </x:row>
    <x:row r="9">
      <x:c r="A9" s="74" t="n">
        <x:v>46254</x:v>
      </x:c>
      <x:c r="B9" s="61" t="str">
        <x:v>Google</x:v>
      </x:c>
      <x:c r="C9" s="61" t="str">
        <x:v>India / Shadnagar</x:v>
      </x:c>
      <x:c r="D9" s="61" t="str">
        <x:v>Desktop</x:v>
      </x:c>
      <x:c r="E9" s="61" t="str">
        <x:v>Yes</x:v>
      </x:c>
      <x:c r="F9" s="61" t="str">
        <x:v>digital marketing agency shadnagar</x:v>
      </x:c>
      <x:c r="G9" s="61" t="str">
        <x:v>https://growthmasala.com/digital-marketing-agency-shadnagar</x:v>
      </x:c>
      <x:c r="H9" s="61" t="n">
        <x:v>3</x:v>
      </x:c>
      <x:c r="I9" s="61"/>
      <x:c r="J9" s="82" t="str">
        <x:f>IF(OR(H9="",I9=""),"",I9-H9)</x:f>
      </x:c>
      <x:c r="K9" s="82" t="n">
        <x:f>IF(H9="","",ROUNDUP(H9/10,0))</x:f>
        <x:v>1</x:v>
      </x:c>
      <x:c r="L9" s="61" t="str">
        <x:v>Found</x:v>
      </x:c>
      <x:c r="M9" s="61" t="str">
        <x:v>Organic + local results</x:v>
      </x:c>
      <x:c r="N9" s="61" t="str">
        <x:v>Growth Masala location page</x:v>
      </x:c>
      <x:c r="O9" s="61" t="str">
        <x:v>Unpersonalised city-qualified check</x:v>
      </x:c>
      <x:c r="P9" s="61" t="str">
        <x:v>Manual check</x:v>
      </x:c>
    </x:row>
    <x:row r="10">
      <x:c r="A10" s="74" t="n">
        <x:v>46254</x:v>
      </x:c>
      <x:c r="B10" s="61" t="str">
        <x:v>Google</x:v>
      </x:c>
      <x:c r="C10" s="61" t="str">
        <x:v>India / Mahabubnagar</x:v>
      </x:c>
      <x:c r="D10" s="61" t="str">
        <x:v>Desktop</x:v>
      </x:c>
      <x:c r="E10" s="61" t="str">
        <x:v>Yes</x:v>
      </x:c>
      <x:c r="F10" s="61" t="str">
        <x:v>digital marketing agency in mahabubnagar</x:v>
      </x:c>
      <x:c r="G10" s="61" t="str">
        <x:v>https://growthmasala.com/digital-marketing-agency-mahabubnagar</x:v>
      </x:c>
      <x:c r="H10" s="61" t="n">
        <x:v>4</x:v>
      </x:c>
      <x:c r="I10" s="61"/>
      <x:c r="J10" s="82" t="str">
        <x:f>IF(OR(H10="",I10=""),"",I10-H10)</x:f>
      </x:c>
      <x:c r="K10" s="82" t="n">
        <x:f>IF(H10="","",ROUNDUP(H10/10,0))</x:f>
        <x:v>1</x:v>
      </x:c>
      <x:c r="L10" s="61" t="str">
        <x:v>Found</x:v>
      </x:c>
      <x:c r="M10" s="61" t="str">
        <x:v>Organic + local results</x:v>
      </x:c>
      <x:c r="N10" s="61" t="str">
        <x:v>Growth Masala location page</x:v>
      </x:c>
      <x:c r="O10" s="61" t="str">
        <x:v>Unpersonalised city-qualified check</x:v>
      </x:c>
      <x:c r="P10" s="61" t="str">
        <x:v>Manual check</x:v>
      </x:c>
    </x:row>
    <x:row r="11">
      <x:c r="A11" s="74" t="n">
        <x:v>46254</x:v>
      </x:c>
      <x:c r="B11" s="61" t="str">
        <x:v>Google</x:v>
      </x:c>
      <x:c r="C11" s="61" t="str">
        <x:v>India / Mahabubnagar</x:v>
      </x:c>
      <x:c r="D11" s="61" t="str">
        <x:v>Desktop</x:v>
      </x:c>
      <x:c r="E11" s="61" t="str">
        <x:v>Yes</x:v>
      </x:c>
      <x:c r="F11" s="61" t="str">
        <x:v>seo services in mahabubnagar</x:v>
      </x:c>
      <x:c r="G11" s="61" t="str">
        <x:v>https://growthmasala.com/seo-services-mahabubnagar</x:v>
      </x:c>
      <x:c r="H11" s="61" t="n">
        <x:v>8</x:v>
      </x:c>
      <x:c r="I11" s="61"/>
      <x:c r="J11" s="82" t="str">
        <x:f>IF(OR(H11="",I11=""),"",I11-H11)</x:f>
      </x:c>
      <x:c r="K11" s="82" t="n">
        <x:f>IF(H11="","",ROUNDUP(H11/10,0))</x:f>
        <x:v>1</x:v>
      </x:c>
      <x:c r="L11" s="61" t="str">
        <x:v>Found</x:v>
      </x:c>
      <x:c r="M11" s="61" t="str">
        <x:v>Organic + local results</x:v>
      </x:c>
      <x:c r="N11" s="61" t="str">
        <x:v>Growth Masala service page</x:v>
      </x:c>
      <x:c r="O11" s="61" t="str">
        <x:v>Unpersonalised city-qualified check</x:v>
      </x:c>
      <x:c r="P11" s="61" t="str">
        <x:v>Manual check</x:v>
      </x:c>
    </x:row>
    <x:row r="12">
      <x:c r="A12" s="74" t="n">
        <x:v>46254</x:v>
      </x:c>
      <x:c r="B12" s="61" t="str">
        <x:v>Google</x:v>
      </x:c>
      <x:c r="C12" s="61" t="str">
        <x:v>India / Mahabubnagar</x:v>
      </x:c>
      <x:c r="D12" s="61" t="str">
        <x:v>Desktop</x:v>
      </x:c>
      <x:c r="E12" s="61" t="str">
        <x:v>Yes</x:v>
      </x:c>
      <x:c r="F12" s="61" t="str">
        <x:v>website development in mahabubnagar</x:v>
      </x:c>
      <x:c r="G12" s="61" t="str">
        <x:v>https://growthmasala.com/website-development-mahabubnagar</x:v>
      </x:c>
      <x:c r="H12" s="61" t="n">
        <x:v>15</x:v>
      </x:c>
      <x:c r="I12" s="61"/>
      <x:c r="J12" s="82" t="str">
        <x:f>IF(OR(H12="",I12=""),"",I12-H12)</x:f>
      </x:c>
      <x:c r="K12" s="82" t="n">
        <x:f>IF(H12="","",ROUNDUP(H12/10,0))</x:f>
        <x:v>2</x:v>
      </x:c>
      <x:c r="L12" s="61" t="str">
        <x:v>Found</x:v>
      </x:c>
      <x:c r="M12" s="61" t="str">
        <x:v>Organic + local results</x:v>
      </x:c>
      <x:c r="N12" s="61" t="str">
        <x:v>Growth Masala service page</x:v>
      </x:c>
      <x:c r="O12" s="61" t="str">
        <x:v>Page two, approximately fifth organic result</x:v>
      </x:c>
      <x:c r="P12" s="61" t="str">
        <x:v>Manual check</x:v>
      </x:c>
    </x:row>
    <x:row r="13">
      <x:c r="A13" s="74" t="n">
        <x:v>46254</x:v>
      </x:c>
      <x:c r="B13" s="61" t="str">
        <x:v>Google</x:v>
      </x:c>
      <x:c r="C13" s="61" t="str">
        <x:v>India / Hyderabad</x:v>
      </x:c>
      <x:c r="D13" s="61" t="str">
        <x:v>Desktop</x:v>
      </x:c>
      <x:c r="E13" s="61" t="str">
        <x:v>Yes</x:v>
      </x:c>
      <x:c r="F13" s="61" t="str">
        <x:v>website development company in hyderabad</x:v>
      </x:c>
      <x:c r="G13" s="61" t="str">
        <x:v>https://growthmasala.com/website-development-hyderabad</x:v>
      </x:c>
      <x:c r="H13" s="61"/>
      <x:c r="I13" s="61"/>
      <x:c r="J13" s="82" t="str">
        <x:f>IF(OR(H13="",I13=""),"",I13-H13)</x:f>
      </x:c>
      <x:c r="K13" s="82" t="str">
        <x:f>IF(H13="","",ROUNDUP(H13/10,0))</x:f>
      </x:c>
      <x:c r="L13" s="61" t="str">
        <x:v>Not found</x:v>
      </x:c>
      <x:c r="M13" s="61" t="str">
        <x:v>Organic + local results</x:v>
      </x:c>
      <x:c r="N13" s="61" t="str"/>
      <x:c r="O13" s="61" t="str">
        <x:v>Not found in reviewed first-page set</x:v>
      </x:c>
      <x:c r="P13" s="61" t="str">
        <x:v>Manual check</x:v>
      </x:c>
    </x:row>
    <x:row r="14">
      <x:c r="A14" s="74" t="n">
        <x:v>46254</x:v>
      </x:c>
      <x:c r="B14" s="61" t="str">
        <x:v>Google</x:v>
      </x:c>
      <x:c r="C14" s="61" t="str">
        <x:v>India / Hyderabad</x:v>
      </x:c>
      <x:c r="D14" s="61" t="str">
        <x:v>Desktop</x:v>
      </x:c>
      <x:c r="E14" s="61" t="str">
        <x:v>Yes</x:v>
      </x:c>
      <x:c r="F14" s="61" t="str">
        <x:v>digital marketing agency hyderabad</x:v>
      </x:c>
      <x:c r="G14" s="61" t="str">
        <x:v>https://growthmasala.com/digital-marketing-agency-hyderabad</x:v>
      </x:c>
      <x:c r="H14" s="61"/>
      <x:c r="I14" s="61"/>
      <x:c r="J14" s="82" t="str">
        <x:f>IF(OR(H14="",I14=""),"",I14-H14)</x:f>
      </x:c>
      <x:c r="K14" s="82" t="str">
        <x:f>IF(H14="","",ROUNDUP(H14/10,0))</x:f>
      </x:c>
      <x:c r="L14" s="61" t="str">
        <x:v>Not found</x:v>
      </x:c>
      <x:c r="M14" s="61" t="str">
        <x:v>Organic + local results</x:v>
      </x:c>
      <x:c r="N14" s="61" t="str"/>
      <x:c r="O14" s="61" t="str">
        <x:v>Not found in reviewed first-page set</x:v>
      </x:c>
      <x:c r="P14" s="61" t="str">
        <x:v>Manual check</x:v>
      </x:c>
    </x:row>
    <x:row r="15">
      <x:c r="A15" s="77" t="n">
        <x:v>46254</x:v>
      </x:c>
      <x:c r="B15" s="62" t="str">
        <x:v>Google</x:v>
      </x:c>
      <x:c r="C15" s="62" t="str">
        <x:v>India</x:v>
      </x:c>
      <x:c r="D15" s="62" t="str">
        <x:v>Desktop</x:v>
      </x:c>
      <x:c r="E15" s="62" t="str">
        <x:v>Yes</x:v>
      </x:c>
      <x:c r="F15" s="62" t="str">
        <x:v>5 page website cost india</x:v>
      </x:c>
      <x:c r="G15" s="62" t="str">
        <x:v>https://growthmasala.com/blog/5-page-website-cost-india</x:v>
      </x:c>
      <x:c r="H15" s="62"/>
      <x:c r="I15" s="62"/>
      <x:c r="J15" s="83" t="str">
        <x:f>IF(OR(H15="",I15=""),"",I15-H15)</x:f>
      </x:c>
      <x:c r="K15" s="83" t="str">
        <x:f>IF(H15="","",ROUNDUP(H15/10,0))</x:f>
      </x:c>
      <x:c r="L15" s="62" t="str">
        <x:v>Not found</x:v>
      </x:c>
      <x:c r="M15" s="62" t="str">
        <x:v>Organic</x:v>
      </x:c>
      <x:c r="N15" s="62" t="str"/>
      <x:c r="O15" s="62" t="str">
        <x:v>Not found in reviewed first-page set</x:v>
      </x:c>
      <x:c r="P15" s="62" t="str">
        <x:v>Manual check</x:v>
      </x:c>
    </x:row>
    <x:row r="16" ht="34" customHeight="1">
      <x:c r="A16" s="37" t="n">
        <x:v>46258</x:v>
      </x:c>
      <x:c r="B16" t="str">
        <x:v>Google</x:v>
      </x:c>
      <x:c r="C16" t="str">
        <x:v>India / Hyderabad</x:v>
      </x:c>
      <x:c r="D16" t="str">
        <x:v>Desktop</x:v>
      </x:c>
      <x:c r="E16" t="str">
        <x:v>Yes</x:v>
      </x:c>
      <x:c r="F16" t="str">
        <x:v>website designer hyderabad</x:v>
      </x:c>
      <x:c r="G16" t="str">
        <x:v>https://growthmasala.com/website-development-hyderabad</x:v>
      </x:c>
      <x:c r="H16"/>
      <x:c r="I16"/>
      <x:c r="J16" t="str">
        <x:f>IF(OR(H16="",I16=""),"",I16-H16)</x:f>
      </x:c>
      <x:c r="K16" t="str">
        <x:f>IF(H16="","",ROUNDUP(H16/10,0))</x:f>
      </x:c>
      <x:c r="L16" t="str">
        <x:v>Not found</x:v>
      </x:c>
      <x:c r="M16" t="str">
        <x:v>Local pack + PAA + organic</x:v>
      </x:c>
      <x:c r="N16"/>
      <x:c r="O16" s="29" t="str">
        <x:v>Not visible in reviewed unpersonalised first page; GSC surfaced 1 impression and 0 clicks in latest 7 days</x:v>
      </x:c>
      <x:c r="P16" t="str">
        <x:v>Manual SERP + GSC</x:v>
      </x:c>
    </x:row>
  </x:sheetData>
  <x:mergeCells>
    <x:mergeCell ref="A1:P1"/>
    <x:mergeCell ref="A2:P2"/>
  </x:mergeCells>
  <x:conditionalFormatting sqref="H5:H15">
    <x:cfRule type="colorScale" priority="1">
      <x:colorScale>
        <x:cfvo type="min"/>
        <x:cfvo type="percentile" val="50"/>
        <x:cfvo type="max"/>
        <x:color rgb="FFEAF8EF"/>
        <x:color rgb="FFFFF7D6"/>
        <x:color rgb="FFFDECEC"/>
      </x:colorScale>
    </x:cfRule>
  </x:conditionalFormatting>
  <x:conditionalFormatting sqref="L5:L15">
    <x:cfRule type="containsText" dxfId="6" priority="2" operator="containsText" text="Won"/>
    <x:cfRule type="containsText" dxfId="7" priority="3" operator="containsText" text="Complete"/>
    <x:cfRule type="containsText" dxfId="8" priority="4" operator="containsText" text="In Progress"/>
    <x:cfRule type="containsText" dxfId="9" priority="5" operator="containsText" text="Monitoring"/>
    <x:cfRule type="containsText" dxfId="10" priority="6" operator="containsText" text="On Hold"/>
    <x:cfRule type="containsText" dxfId="11" priority="7" operator="containsText" text="Rejected"/>
  </x:conditionalFormatting>
  <x:dataValidations count="1">
    <x:dataValidation type="list" sqref="L5:L15">
      <x:formula1>"Not Started,Planned,In Progress,Monitoring,Won,Published,Complete,On 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a82184e56a4d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18" hidden="0" customWidth="1"/>
    <x:col min="4" max="4" width="16" hidden="0" customWidth="1"/>
    <x:col min="5" max="5" width="12" hidden="0" customWidth="1"/>
    <x:col min="6" max="6" width="36" hidden="0" customWidth="1"/>
    <x:col min="7" max="7" width="38" hidden="0" customWidth="1"/>
    <x:col min="8" max="8" width="12" hidden="0" customWidth="1"/>
    <x:col min="9" max="9" width="12" hidden="0" customWidth="1"/>
    <x:col min="10" max="10" width="11" hidden="0" customWidth="1"/>
    <x:col min="11" max="11" width="12" hidden="0" customWidth="1"/>
    <x:col min="12" max="12" width="14" hidden="0" customWidth="1"/>
    <x:col min="13" max="13" width="38" hidden="0" customWidth="1"/>
    <x:col min="14" max="14" width="42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 ht="34" customHeight="1">
      <x:c r="A1" s="3" t="str">
        <x:v>Page-to-Keyword Ownership Map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One primary intent per page. Current winners are protected; candidate pages remain proposals until evidence supports creation.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4" t="str">
        <x:v>Page ID</x:v>
      </x:c>
      <x:c r="B4" s="21" t="str">
        <x:v>URL / Proposed Path</x:v>
      </x:c>
      <x:c r="C4" s="21" t="str">
        <x:v>Page Type</x:v>
      </x:c>
      <x:c r="D4" s="21" t="str">
        <x:v>Geo</x:v>
      </x:c>
      <x:c r="E4" s="21" t="str">
        <x:v>Funnel</x:v>
      </x:c>
      <x:c r="F4" s="21" t="str">
        <x:v>Primary Keyword / Intent</x:v>
      </x:c>
      <x:c r="G4" s="21" t="str">
        <x:v>Supporting Cluster</x:v>
      </x:c>
      <x:c r="H4" s="21" t="str">
        <x:v>Current Clicks</x:v>
      </x:c>
      <x:c r="I4" s="21" t="str">
        <x:v>Impressions</x:v>
      </x:c>
      <x:c r="J4" s="21" t="str">
        <x:v>CTR</x:v>
      </x:c>
      <x:c r="K4" s="21" t="str">
        <x:v>Avg Position</x:v>
      </x:c>
      <x:c r="L4" s="21" t="str">
        <x:v>Index Status</x:v>
      </x:c>
      <x:c r="M4" s="21" t="str">
        <x:v>Change Guardrail</x:v>
      </x:c>
      <x:c r="N4" s="21" t="str">
        <x:v>Next Decision</x:v>
      </x:c>
      <x:c r="O4" s="21" t="str">
        <x:v>Owner</x:v>
      </x:c>
      <x:c r="P4" s="21" t="str">
        <x:v>Status</x:v>
      </x:c>
      <x:c r="Q4" s="15" t="str">
        <x:v>Evidence Date</x:v>
      </x:c>
    </x:row>
    <x:row r="5">
      <x:c r="A5" s="60" t="str">
        <x:v>PG-001</x:v>
      </x:c>
      <x:c r="B5" s="60" t="str">
        <x:v>https://growthmasala.com/website-development-mahabubnagar</x:v>
      </x:c>
      <x:c r="C5" s="60" t="str">
        <x:v>Service landing</x:v>
      </x:c>
      <x:c r="D5" s="60" t="str">
        <x:v>Mahabubnagar</x:v>
      </x:c>
      <x:c r="E5" s="60" t="str">
        <x:v>BOFU</x:v>
      </x:c>
      <x:c r="F5" s="60" t="str">
        <x:v>website development in mahabubnagar</x:v>
      </x:c>
      <x:c r="G5" s="60" t="str">
        <x:v>website design, developer, business websites</x:v>
      </x:c>
      <x:c r="H5" s="60" t="n">
        <x:v>1</x:v>
      </x:c>
      <x:c r="I5" s="60" t="n">
        <x:v>26</x:v>
      </x:c>
      <x:c r="J5" s="84" t="n">
        <x:f>IFERROR(H5/I5,"")</x:f>
        <x:v>0.038461538461538464</x:v>
      </x:c>
      <x:c r="K5" s="85" t="n">
        <x:v>10.1</x:v>
      </x:c>
      <x:c r="L5" s="60" t="str">
        <x:v>Indexed</x:v>
      </x:c>
      <x:c r="M5" s="60" t="str">
        <x:v>Protect title/H1 during observation</x:v>
      </x:c>
      <x:c r="N5" s="60" t="str">
        <x:v>Build authority; reassess after 4 weeks</x:v>
      </x:c>
      <x:c r="O5" s="60" t="str">
        <x:v>SEO</x:v>
      </x:c>
      <x:c r="P5" s="60" t="str">
        <x:v>Monitoring</x:v>
      </x:c>
      <x:c r="Q5" s="71" t="n">
        <x:v>46254</x:v>
      </x:c>
    </x:row>
    <x:row r="6">
      <x:c r="A6" s="61" t="str">
        <x:v>PG-002</x:v>
      </x:c>
      <x:c r="B6" s="61" t="str">
        <x:v>https://growthmasala.com/digital-marketing-agency-mahabubnagar</x:v>
      </x:c>
      <x:c r="C6" s="61" t="str">
        <x:v>Location landing</x:v>
      </x:c>
      <x:c r="D6" s="61" t="str">
        <x:v>Mahabubnagar</x:v>
      </x:c>
      <x:c r="E6" s="61" t="str">
        <x:v>BOFU</x:v>
      </x:c>
      <x:c r="F6" s="61" t="str">
        <x:v>digital marketing agency in mahabubnagar</x:v>
      </x:c>
      <x:c r="G6" s="61" t="str">
        <x:v>services near me, local agency</x:v>
      </x:c>
      <x:c r="H6" s="61" t="n">
        <x:v>1</x:v>
      </x:c>
      <x:c r="I6" s="61" t="n">
        <x:v>45</x:v>
      </x:c>
      <x:c r="J6" s="86" t="n">
        <x:f>IFERROR(H6/I6,"")</x:f>
        <x:v>0.022222222222222223</x:v>
      </x:c>
      <x:c r="K6" s="87" t="n">
        <x:v>5.3</x:v>
      </x:c>
      <x:c r="L6" s="61" t="str">
        <x:v>Indexed</x:v>
      </x:c>
      <x:c r="M6" s="61" t="str">
        <x:v>Protect current page-one signals</x:v>
      </x:c>
      <x:c r="N6" s="61" t="str">
        <x:v>Improve independent evidence, not keyword density</x:v>
      </x:c>
      <x:c r="O6" s="61" t="str">
        <x:v>SEO</x:v>
      </x:c>
      <x:c r="P6" s="61" t="str">
        <x:v>Monitoring</x:v>
      </x:c>
      <x:c r="Q6" s="74" t="n">
        <x:v>46254</x:v>
      </x:c>
    </x:row>
    <x:row r="7">
      <x:c r="A7" s="61" t="str">
        <x:v>PG-003</x:v>
      </x:c>
      <x:c r="B7" s="61" t="str">
        <x:v>https://growthmasala.com/seo-services-mahabubnagar</x:v>
      </x:c>
      <x:c r="C7" s="61" t="str">
        <x:v>Service landing</x:v>
      </x:c>
      <x:c r="D7" s="61" t="str">
        <x:v>Mahabubnagar</x:v>
      </x:c>
      <x:c r="E7" s="61" t="str">
        <x:v>BOFU</x:v>
      </x:c>
      <x:c r="F7" s="61" t="str">
        <x:v>seo services in mahabubnagar</x:v>
      </x:c>
      <x:c r="G7" s="61" t="str">
        <x:v>local SEO, SEO company</x:v>
      </x:c>
      <x:c r="H7" s="61" t="n">
        <x:v>1</x:v>
      </x:c>
      <x:c r="I7" s="61" t="n">
        <x:v>18</x:v>
      </x:c>
      <x:c r="J7" s="86" t="n">
        <x:f>IFERROR(H7/I7,"")</x:f>
        <x:v>0.05555555555555555</x:v>
      </x:c>
      <x:c r="K7" s="87" t="n">
        <x:v>31.7</x:v>
      </x:c>
      <x:c r="L7" s="61" t="str">
        <x:v>Indexed</x:v>
      </x:c>
      <x:c r="M7" s="61" t="str">
        <x:v>Avoid reacting to irrelevant city queries</x:v>
      </x:c>
      <x:c r="N7" s="61" t="str">
        <x:v>Segment relevant queries before any edit</x:v>
      </x:c>
      <x:c r="O7" s="61" t="str">
        <x:v>SEO</x:v>
      </x:c>
      <x:c r="P7" s="61" t="str">
        <x:v>Monitoring</x:v>
      </x:c>
      <x:c r="Q7" s="74" t="n">
        <x:v>46254</x:v>
      </x:c>
    </x:row>
    <x:row r="8">
      <x:c r="A8" s="61" t="str">
        <x:v>PG-004</x:v>
      </x:c>
      <x:c r="B8" s="61" t="str">
        <x:v>https://growthmasala.com/social-media-marketing-mahabubnagar</x:v>
      </x:c>
      <x:c r="C8" s="61" t="str">
        <x:v>Service landing</x:v>
      </x:c>
      <x:c r="D8" s="61" t="str">
        <x:v>Mahabubnagar</x:v>
      </x:c>
      <x:c r="E8" s="61" t="str">
        <x:v>BOFU</x:v>
      </x:c>
      <x:c r="F8" s="61" t="str">
        <x:v>social media marketing in mahabubnagar</x:v>
      </x:c>
      <x:c r="G8" s="61" t="str">
        <x:v>social media agency</x:v>
      </x:c>
      <x:c r="H8" s="61" t="n">
        <x:v>0</x:v>
      </x:c>
      <x:c r="I8" s="61" t="n">
        <x:v>24</x:v>
      </x:c>
      <x:c r="J8" s="86" t="n">
        <x:f>IFERROR(H8/I8,"")</x:f>
        <x:v>0</x:v>
      </x:c>
      <x:c r="K8" s="87" t="n">
        <x:v>8.6</x:v>
      </x:c>
      <x:c r="L8" s="61" t="str">
        <x:v>Indexed</x:v>
      </x:c>
      <x:c r="M8" s="61" t="str">
        <x:v>Protect ranking</x:v>
      </x:c>
      <x:c r="N8" s="61" t="str">
        <x:v>Track clicks and leads</x:v>
      </x:c>
      <x:c r="O8" s="61" t="str">
        <x:v>SEO</x:v>
      </x:c>
      <x:c r="P8" s="61" t="str">
        <x:v>Monitoring</x:v>
      </x:c>
      <x:c r="Q8" s="74" t="n">
        <x:v>46254</x:v>
      </x:c>
    </x:row>
    <x:row r="9">
      <x:c r="A9" s="61" t="str">
        <x:v>PG-005</x:v>
      </x:c>
      <x:c r="B9" s="61" t="str">
        <x:v>https://growthmasala.com/meta-ads-mahabubnagar</x:v>
      </x:c>
      <x:c r="C9" s="61" t="str">
        <x:v>Service landing</x:v>
      </x:c>
      <x:c r="D9" s="61" t="str">
        <x:v>Mahabubnagar</x:v>
      </x:c>
      <x:c r="E9" s="61" t="str">
        <x:v>BOFU</x:v>
      </x:c>
      <x:c r="F9" s="61" t="str">
        <x:v>meta ads agency in mahabubnagar</x:v>
      </x:c>
      <x:c r="G9" s="61" t="str">
        <x:v>Facebook ads, Instagram ads</x:v>
      </x:c>
      <x:c r="H9" s="61"/>
      <x:c r="I9" s="61"/>
      <x:c r="J9" s="86" t="str">
        <x:f>IFERROR(H9/I9,"")</x:f>
      </x:c>
      <x:c r="K9" s="87"/>
      <x:c r="L9" s="61" t="str">
        <x:v>Indexed</x:v>
      </x:c>
      <x:c r="M9" s="61" t="str">
        <x:v>Protect #1 observed rank</x:v>
      </x:c>
      <x:c r="N9" s="61" t="str">
        <x:v>Use as supporting expertise only</x:v>
      </x:c>
      <x:c r="O9" s="61" t="str">
        <x:v>SEO</x:v>
      </x:c>
      <x:c r="P9" s="61" t="str">
        <x:v>Monitoring</x:v>
      </x:c>
      <x:c r="Q9" s="74" t="n">
        <x:v>46254</x:v>
      </x:c>
    </x:row>
    <x:row r="10">
      <x:c r="A10" s="61" t="str">
        <x:v>PG-006</x:v>
      </x:c>
      <x:c r="B10" s="61" t="str">
        <x:v>https://growthmasala.com/website-development-hyderabad</x:v>
      </x:c>
      <x:c r="C10" s="61" t="str">
        <x:v>Service landing</x:v>
      </x:c>
      <x:c r="D10" s="61" t="str">
        <x:v>Hyderabad</x:v>
      </x:c>
      <x:c r="E10" s="61" t="str">
        <x:v>BOFU</x:v>
      </x:c>
      <x:c r="F10" s="61" t="str">
        <x:v>website development company hyderabad</x:v>
      </x:c>
      <x:c r="G10" s="61" t="str">
        <x:v>developer, web development, affordable business websites</x:v>
      </x:c>
      <x:c r="H10" s="61" t="n">
        <x:v>0</x:v>
      </x:c>
      <x:c r="I10" s="61" t="n">
        <x:v>1</x:v>
      </x:c>
      <x:c r="J10" s="86" t="n">
        <x:f>IFERROR(H10/I10,"")</x:f>
        <x:v>0</x:v>
      </x:c>
      <x:c r="K10" s="87" t="n">
        <x:v>10</x:v>
      </x:c>
      <x:c r="L10" s="61" t="str">
        <x:v>Indexed</x:v>
      </x:c>
      <x:c r="M10" s="61" t="str">
        <x:v>No rewrite on one suppressed impression</x:v>
      </x:c>
      <x:c r="N10" s="61" t="str">
        <x:v>Build Hyderabad proof and links first</x:v>
      </x:c>
      <x:c r="O10" s="61" t="str">
        <x:v>SEO</x:v>
      </x:c>
      <x:c r="P10" s="61" t="str">
        <x:v>Monitoring</x:v>
      </x:c>
      <x:c r="Q10" s="74" t="n">
        <x:v>46254</x:v>
      </x:c>
    </x:row>
    <x:row r="11">
      <x:c r="A11" s="61" t="str">
        <x:v>PG-007</x:v>
      </x:c>
      <x:c r="B11" s="61" t="str">
        <x:v>https://growthmasala.com/digital-marketing-agency-hyderabad</x:v>
      </x:c>
      <x:c r="C11" s="61" t="str">
        <x:v>Location landing</x:v>
      </x:c>
      <x:c r="D11" s="61" t="str">
        <x:v>Hyderabad</x:v>
      </x:c>
      <x:c r="E11" s="61" t="str">
        <x:v>BOFU</x:v>
      </x:c>
      <x:c r="F11" s="61" t="str">
        <x:v>digital marketing agency hyderabad</x:v>
      </x:c>
      <x:c r="G11" s="61" t="str">
        <x:v>companies, agency, Hyd</x:v>
      </x:c>
      <x:c r="H11" s="61" t="n">
        <x:v>0</x:v>
      </x:c>
      <x:c r="I11" s="61" t="n">
        <x:v>5</x:v>
      </x:c>
      <x:c r="J11" s="86" t="n">
        <x:f>IFERROR(H11/I11,"")</x:f>
        <x:v>0</x:v>
      </x:c>
      <x:c r="K11" s="87" t="n">
        <x:v>7.8</x:v>
      </x:c>
      <x:c r="L11" s="61" t="str">
        <x:v>Indexed</x:v>
      </x:c>
      <x:c r="M11" s="61" t="str">
        <x:v>Page data is not an exact query rank</x:v>
      </x:c>
      <x:c r="N11" s="61" t="str">
        <x:v>Long-term authority; website development remains first</x:v>
      </x:c>
      <x:c r="O11" s="61" t="str">
        <x:v>SEO</x:v>
      </x:c>
      <x:c r="P11" s="61" t="str">
        <x:v>Monitoring</x:v>
      </x:c>
      <x:c r="Q11" s="74" t="n">
        <x:v>46254</x:v>
      </x:c>
    </x:row>
    <x:row r="12">
      <x:c r="A12" s="61" t="str">
        <x:v>PG-008</x:v>
      </x:c>
      <x:c r="B12" s="61" t="str">
        <x:v>https://growthmasala.com/blog/website-design-cost-mahabubnagar</x:v>
      </x:c>
      <x:c r="C12" s="61" t="str">
        <x:v>Editorial guide</x:v>
      </x:c>
      <x:c r="D12" s="61" t="str">
        <x:v>Mahabubnagar</x:v>
      </x:c>
      <x:c r="E12" s="61" t="str">
        <x:v>MOFU</x:v>
      </x:c>
      <x:c r="F12" s="61" t="str">
        <x:v>website design cost mahabubnagar</x:v>
      </x:c>
      <x:c r="G12" s="61" t="str">
        <x:v>pricing, five-page website</x:v>
      </x:c>
      <x:c r="H12" s="61"/>
      <x:c r="I12" s="61"/>
      <x:c r="J12" s="86" t="str">
        <x:f>IFERROR(H12/I12,"")</x:f>
      </x:c>
      <x:c r="K12" s="87"/>
      <x:c r="L12" s="61" t="str">
        <x:v>Indexed</x:v>
      </x:c>
      <x:c r="M12" s="61" t="str">
        <x:v>Protect #2 observed rank</x:v>
      </x:c>
      <x:c r="N12" s="61" t="str">
        <x:v>Internal authority bridge to PG-001</x:v>
      </x:c>
      <x:c r="O12" s="61" t="str">
        <x:v>Content</x:v>
      </x:c>
      <x:c r="P12" s="61" t="str">
        <x:v>Monitoring</x:v>
      </x:c>
      <x:c r="Q12" s="74" t="n">
        <x:v>46254</x:v>
      </x:c>
    </x:row>
    <x:row r="13">
      <x:c r="A13" s="61" t="str">
        <x:v>PG-009</x:v>
      </x:c>
      <x:c r="B13" s="61" t="str">
        <x:v>https://growthmasala.com/blog/website-design-cost-hyderabad</x:v>
      </x:c>
      <x:c r="C13" s="61" t="str">
        <x:v>Editorial guide</x:v>
      </x:c>
      <x:c r="D13" s="61" t="str">
        <x:v>Hyderabad</x:v>
      </x:c>
      <x:c r="E13" s="61" t="str">
        <x:v>MOFU</x:v>
      </x:c>
      <x:c r="F13" s="61" t="str">
        <x:v>website design cost hyderabad</x:v>
      </x:c>
      <x:c r="G13" s="61" t="str">
        <x:v>affordable website, quotation</x:v>
      </x:c>
      <x:c r="H13" s="61" t="n">
        <x:v>0</x:v>
      </x:c>
      <x:c r="I13" s="61" t="n">
        <x:v>8</x:v>
      </x:c>
      <x:c r="J13" s="86" t="n">
        <x:f>IFERROR(H13/I13,"")</x:f>
        <x:v>0</x:v>
      </x:c>
      <x:c r="K13" s="87"/>
      <x:c r="L13" s="61" t="str">
        <x:v>Indexed</x:v>
      </x:c>
      <x:c r="M13" s="61" t="str">
        <x:v>Observe; no premature rewrite</x:v>
      </x:c>
      <x:c r="N13" s="61" t="str">
        <x:v>Distribute distinct insight externally</x:v>
      </x:c>
      <x:c r="O13" s="61" t="str">
        <x:v>Content</x:v>
      </x:c>
      <x:c r="P13" s="61" t="str">
        <x:v>Monitoring</x:v>
      </x:c>
      <x:c r="Q13" s="74" t="n">
        <x:v>46254</x:v>
      </x:c>
    </x:row>
    <x:row r="14">
      <x:c r="A14" s="61" t="str">
        <x:v>PG-010</x:v>
      </x:c>
      <x:c r="B14" s="61" t="str">
        <x:v>https://growthmasala.com/blog/5-page-website-cost-india</x:v>
      </x:c>
      <x:c r="C14" s="61" t="str">
        <x:v>Editorial guide</x:v>
      </x:c>
      <x:c r="D14" s="61" t="str">
        <x:v>India</x:v>
      </x:c>
      <x:c r="E14" s="61" t="str">
        <x:v>MOFU</x:v>
      </x:c>
      <x:c r="F14" s="61" t="str">
        <x:v>5 page website cost india</x:v>
      </x:c>
      <x:c r="G14" s="61" t="str">
        <x:v>small business website pricing</x:v>
      </x:c>
      <x:c r="H14" s="61"/>
      <x:c r="I14" s="61"/>
      <x:c r="J14" s="86" t="str">
        <x:f>IFERROR(H14/I14,"")</x:f>
      </x:c>
      <x:c r="K14" s="87"/>
      <x:c r="L14" s="61" t="str">
        <x:v>Indexed</x:v>
      </x:c>
      <x:c r="M14" s="61" t="str">
        <x:v>Do not force city modifiers</x:v>
      </x:c>
      <x:c r="N14" s="61" t="str">
        <x:v>National scaling candidate</x:v>
      </x:c>
      <x:c r="O14" s="61" t="str">
        <x:v>Content</x:v>
      </x:c>
      <x:c r="P14" s="61" t="str">
        <x:v>Monitoring</x:v>
      </x:c>
      <x:c r="Q14" s="74" t="n">
        <x:v>46254</x:v>
      </x:c>
    </x:row>
    <x:row r="15">
      <x:c r="A15" s="61" t="str">
        <x:v>PG-011</x:v>
      </x:c>
      <x:c r="B15" s="61" t="str">
        <x:v>Proposed: /guides/website-quotation-india</x:v>
      </x:c>
      <x:c r="C15" s="61" t="str">
        <x:v>Editorial guide</x:v>
      </x:c>
      <x:c r="D15" s="61" t="str">
        <x:v>India</x:v>
      </x:c>
      <x:c r="E15" s="61" t="str">
        <x:v>MOFU</x:v>
      </x:c>
      <x:c r="F15" s="61" t="str">
        <x:v>what a website quotation should include</x:v>
      </x:c>
      <x:c r="G15" s="61" t="str">
        <x:v>ownership, revisions, scope</x:v>
      </x:c>
      <x:c r="H15" s="61"/>
      <x:c r="I15" s="61"/>
      <x:c r="J15" s="86" t="str">
        <x:f>IFERROR(H15/I15,"")</x:f>
      </x:c>
      <x:c r="K15" s="87"/>
      <x:c r="L15" s="61" t="str">
        <x:v>Proposed</x:v>
      </x:c>
      <x:c r="M15" s="61" t="str">
        <x:v>Must contain real quotation evidence</x:v>
      </x:c>
      <x:c r="N15" s="61" t="str">
        <x:v>Research demand and evidence</x:v>
      </x:c>
      <x:c r="O15" s="61" t="str">
        <x:v>Content</x:v>
      </x:c>
      <x:c r="P15" s="61" t="str">
        <x:v>On Hold</x:v>
      </x:c>
      <x:c r="Q15" s="74"/>
    </x:row>
    <x:row r="16">
      <x:c r="A16" s="61" t="str">
        <x:v>PG-012</x:v>
      </x:c>
      <x:c r="B16" s="61" t="str">
        <x:v>Proposed: /tools/website-cost-calculator</x:v>
      </x:c>
      <x:c r="C16" s="61" t="str">
        <x:v>Interactive tool</x:v>
      </x:c>
      <x:c r="D16" s="61" t="str">
        <x:v>India</x:v>
      </x:c>
      <x:c r="E16" s="61" t="str">
        <x:v>MOFU</x:v>
      </x:c>
      <x:c r="F16" s="61" t="str">
        <x:v>website cost calculator india</x:v>
      </x:c>
      <x:c r="G16" s="61" t="str">
        <x:v>Hyderabad and small-business estimates</x:v>
      </x:c>
      <x:c r="H16" s="61"/>
      <x:c r="I16" s="61"/>
      <x:c r="J16" s="86" t="str">
        <x:f>IFERROR(H16/I16,"")</x:f>
      </x:c>
      <x:c r="K16" s="87"/>
      <x:c r="L16" s="61" t="str">
        <x:v>Proposed</x:v>
      </x:c>
      <x:c r="M16" s="61" t="str">
        <x:v>Build only after SERP and demand validation</x:v>
      </x:c>
      <x:c r="N16" s="61" t="str">
        <x:v>Validate product-led opportunity</x:v>
      </x:c>
      <x:c r="O16" s="61" t="str">
        <x:v>Product</x:v>
      </x:c>
      <x:c r="P16" s="61" t="str">
        <x:v>On Hold</x:v>
      </x:c>
      <x:c r="Q16" s="74"/>
    </x:row>
    <x:row r="17">
      <x:c r="A17" s="62" t="str">
        <x:v>PG-013</x:v>
      </x:c>
      <x:c r="B17" s="62" t="str">
        <x:v>Candidate: /seo-services-hyderabad</x:v>
      </x:c>
      <x:c r="C17" s="62" t="str">
        <x:v>Service landing</x:v>
      </x:c>
      <x:c r="D17" s="62" t="str">
        <x:v>Hyderabad</x:v>
      </x:c>
      <x:c r="E17" s="62" t="str">
        <x:v>BOFU</x:v>
      </x:c>
      <x:c r="F17" s="62" t="str">
        <x:v>seo services in hyderabad</x:v>
      </x:c>
      <x:c r="G17" s="62" t="str">
        <x:v>local and affordable SEO</x:v>
      </x:c>
      <x:c r="H17" s="62"/>
      <x:c r="I17" s="62"/>
      <x:c r="J17" s="88" t="str">
        <x:f>IFERROR(H17/I17,"")</x:f>
      </x:c>
      <x:c r="K17" s="89"/>
      <x:c r="L17" s="62" t="str">
        <x:v>Proposed</x:v>
      </x:c>
      <x:c r="M17" s="62" t="str">
        <x:v>Requires distinct proof; no city clone</x:v>
      </x:c>
      <x:c r="N17" s="62" t="str">
        <x:v>Reconsider after website-development phase</x:v>
      </x:c>
      <x:c r="O17" s="62" t="str">
        <x:v>SEO</x:v>
      </x:c>
      <x:c r="P17" s="62" t="str">
        <x:v>On Hold</x:v>
      </x:c>
      <x:c r="Q17" s="77"/>
    </x:row>
  </x:sheetData>
  <x:mergeCells>
    <x:mergeCell ref="A1:Q1"/>
    <x:mergeCell ref="A2:Q2"/>
  </x:mergeCells>
  <x:conditionalFormatting sqref="P5:P17">
    <x:cfRule type="containsText" dxfId="12" priority="1" operator="containsText" text="Won"/>
    <x:cfRule type="containsText" dxfId="13" priority="2" operator="containsText" text="Complete"/>
    <x:cfRule type="containsText" dxfId="14" priority="3" operator="containsText" text="In Progress"/>
    <x:cfRule type="containsText" dxfId="15" priority="4" operator="containsText" text="Monitoring"/>
    <x:cfRule type="containsText" dxfId="16" priority="5" operator="containsText" text="On Hold"/>
    <x:cfRule type="containsText" dxfId="17" priority="6" operator="containsText" text="Rejected"/>
  </x:conditionalFormatting>
  <x:dataValidations count="1">
    <x:dataValidation type="list" sqref="P5:P17">
      <x:formula1>"Not Started,Planned,In Progress,Monitoring,Won,Published,Complete,On 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10dbebefc043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42" hidden="0" customWidth="1"/>
    <x:col min="5" max="5" width="30" hidden="0" customWidth="1"/>
    <x:col min="6" max="6" width="14" hidden="0" customWidth="1"/>
    <x:col min="7" max="7" width="22" hidden="0" customWidth="1"/>
    <x:col min="8" max="8" width="20" hidden="0" customWidth="1"/>
    <x:col min="9" max="9" width="48" hidden="0" customWidth="1"/>
    <x:col min="10" max="10" width="28" hidden="0" customWidth="1"/>
    <x:col min="11" max="11" width="45" hidden="0" customWidth="1"/>
    <x:col min="12" max="12" width="14" hidden="0" customWidth="1"/>
    <x:col min="13" max="13" width="12" hidden="0" customWidth="1"/>
    <x:col min="14" max="14" width="14" hidden="0" customWidth="1"/>
    <x:col min="15" max="15" width="26" hidden="0" customWidth="1"/>
    <x:col min="16" max="16" width="44" hidden="0" customWidth="1"/>
    <x:col min="17" max="17" width="14" hidden="0" customWidth="1"/>
  </x:cols>
  <x:sheetData>
    <x:row r="1" ht="34" customHeight="1">
      <x:c r="A1" s="3" t="str">
        <x:v>Evidence-Led Content &amp; Product Pipeline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Every asset must answer a buyer decision and contain evidence competitors cannot cheaply reproduce.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4" t="str">
        <x:v>Content ID</x:v>
      </x:c>
      <x:c r="B4" s="21" t="str">
        <x:v>Priority</x:v>
      </x:c>
      <x:c r="C4" s="21" t="str">
        <x:v>Asset Type</x:v>
      </x:c>
      <x:c r="D4" s="21" t="str">
        <x:v>Working Title</x:v>
      </x:c>
      <x:c r="E4" s="21" t="str">
        <x:v>Target Cluster</x:v>
      </x:c>
      <x:c r="F4" s="21" t="str">
        <x:v>Funnel</x:v>
      </x:c>
      <x:c r="G4" s="21" t="str">
        <x:v>Audience / Geo</x:v>
      </x:c>
      <x:c r="H4" s="21" t="str">
        <x:v>Search Intent</x:v>
      </x:c>
      <x:c r="I4" s="21" t="str">
        <x:v>Required Original Evidence</x:v>
      </x:c>
      <x:c r="J4" s="21" t="str">
        <x:v>Primary CTA</x:v>
      </x:c>
      <x:c r="K4" s="21" t="str">
        <x:v>Supports Page</x:v>
      </x:c>
      <x:c r="L4" s="21" t="str">
        <x:v>Earliest Review</x:v>
      </x:c>
      <x:c r="M4" s="21" t="str">
        <x:v>Effort</x:v>
      </x:c>
      <x:c r="N4" s="21" t="str">
        <x:v>Status</x:v>
      </x:c>
      <x:c r="O4" s="21" t="str">
        <x:v>Success Metric</x:v>
      </x:c>
      <x:c r="P4" s="21" t="str">
        <x:v>Decision Rule</x:v>
      </x:c>
      <x:c r="Q4" s="15" t="str">
        <x:v>Owner</x:v>
      </x:c>
    </x:row>
    <x:row r="5">
      <x:c r="A5" s="60" t="str">
        <x:v>CT-001</x:v>
      </x:c>
      <x:c r="B5" s="60" t="str">
        <x:v>P0</x:v>
      </x:c>
      <x:c r="C5" s="60" t="str">
        <x:v>Interactive tool</x:v>
      </x:c>
      <x:c r="D5" s="60" t="str">
        <x:v>Website Cost Calculator for Indian Small Businesses</x:v>
      </x:c>
      <x:c r="E5" s="60" t="str">
        <x:v>website cost calculator india</x:v>
      </x:c>
      <x:c r="F5" s="60" t="str">
        <x:v>MOFU</x:v>
      </x:c>
      <x:c r="G5" s="60" t="str">
        <x:v>India + Telangana</x:v>
      </x:c>
      <x:c r="H5" s="60" t="str">
        <x:v>Estimate cost</x:v>
      </x:c>
      <x:c r="I5" s="60" t="str">
        <x:v>Real package logic, renewal assumptions and scope rules</x:v>
      </x:c>
      <x:c r="J5" s="60" t="str">
        <x:v>Request a reviewed quotation</x:v>
      </x:c>
      <x:c r="K5" s="60" t="str">
        <x:v>https://growthmasala.com/website-development-hyderabad</x:v>
      </x:c>
      <x:c r="L5" s="71" t="n">
        <x:v>46285</x:v>
      </x:c>
      <x:c r="M5" s="60" t="str">
        <x:v>High</x:v>
      </x:c>
      <x:c r="N5" s="60" t="str">
        <x:v>On Hold</x:v>
      </x:c>
      <x:c r="O5" s="60" t="str">
        <x:v>Qualified organic sessions + links</x:v>
      </x:c>
      <x:c r="P5" s="60" t="str">
        <x:v>Build only if SERP and demand validation show a useful gap</x:v>
      </x:c>
      <x:c r="Q5" s="60" t="str">
        <x:v>Product</x:v>
      </x:c>
    </x:row>
    <x:row r="6">
      <x:c r="A6" s="61" t="str">
        <x:v>CT-002</x:v>
      </x:c>
      <x:c r="B6" s="61" t="str">
        <x:v>P1</x:v>
      </x:c>
      <x:c r="C6" s="61" t="str">
        <x:v>Decision guide</x:v>
      </x:c>
      <x:c r="D6" s="61" t="str">
        <x:v>What a Website Quotation Should Include</x:v>
      </x:c>
      <x:c r="E6" s="61" t="str">
        <x:v>website quotation inclusions</x:v>
      </x:c>
      <x:c r="F6" s="61" t="str">
        <x:v>MOFU</x:v>
      </x:c>
      <x:c r="G6" s="61" t="str">
        <x:v>India</x:v>
      </x:c>
      <x:c r="H6" s="61" t="str">
        <x:v>Evaluate scope</x:v>
      </x:c>
      <x:c r="I6" s="61" t="str">
        <x:v>Redacted real quotation structure, ownership and revision clauses</x:v>
      </x:c>
      <x:c r="J6" s="61" t="str">
        <x:v>Download/check quotation</x:v>
      </x:c>
      <x:c r="K6" s="61" t="str">
        <x:v>https://growthmasala.com/website-development-mahabubnagar</x:v>
      </x:c>
      <x:c r="L6" s="74" t="n">
        <x:v>46285</x:v>
      </x:c>
      <x:c r="M6" s="61" t="str">
        <x:v>Medium</x:v>
      </x:c>
      <x:c r="N6" s="61" t="str">
        <x:v>On Hold</x:v>
      </x:c>
      <x:c r="O6" s="61" t="str">
        <x:v>Impressions + assisted enquiries</x:v>
      </x:c>
      <x:c r="P6" s="61" t="str">
        <x:v>Publish only with first-hand examples</x:v>
      </x:c>
      <x:c r="Q6" s="61" t="str">
        <x:v>Content</x:v>
      </x:c>
    </x:row>
    <x:row r="7">
      <x:c r="A7" s="61" t="str">
        <x:v>CT-003</x:v>
      </x:c>
      <x:c r="B7" s="61" t="str">
        <x:v>P1</x:v>
      </x:c>
      <x:c r="C7" s="61" t="str">
        <x:v>Cost guide</x:v>
      </x:c>
      <x:c r="D7" s="61" t="str">
        <x:v>The Real Cost of a Website After Year One</x:v>
      </x:c>
      <x:c r="E7" s="61" t="str">
        <x:v>website renewal cost india</x:v>
      </x:c>
      <x:c r="F7" s="61" t="str">
        <x:v>MOFU</x:v>
      </x:c>
      <x:c r="G7" s="61" t="str">
        <x:v>India</x:v>
      </x:c>
      <x:c r="H7" s="61" t="str">
        <x:v>Compare lifetime cost</x:v>
      </x:c>
      <x:c r="I7" s="61" t="str">
        <x:v>Actual domain, hosting, maintenance and email renewal ranges</x:v>
      </x:c>
      <x:c r="J7" s="61" t="str">
        <x:v>Estimate total cost</x:v>
      </x:c>
      <x:c r="K7" s="61" t="str">
        <x:v>https://growthmasala.com/blog/5-page-website-cost-india</x:v>
      </x:c>
      <x:c r="L7" s="74" t="n">
        <x:v>46292</x:v>
      </x:c>
      <x:c r="M7" s="61" t="str">
        <x:v>Medium</x:v>
      </x:c>
      <x:c r="N7" s="61" t="str">
        <x:v>On Hold</x:v>
      </x:c>
      <x:c r="O7" s="61" t="str">
        <x:v>Non-brand clicks + calculator usage</x:v>
      </x:c>
      <x:c r="P7" s="61" t="str">
        <x:v>Publish if distinct from existing cost guides</x:v>
      </x:c>
      <x:c r="Q7" s="61" t="str">
        <x:v>Content</x:v>
      </x:c>
    </x:row>
    <x:row r="8">
      <x:c r="A8" s="61" t="str">
        <x:v>CT-004</x:v>
      </x:c>
      <x:c r="B8" s="61" t="str">
        <x:v>P1</x:v>
      </x:c>
      <x:c r="C8" s="61" t="str">
        <x:v>Buyer checklist</x:v>
      </x:c>
      <x:c r="D8" s="61" t="str">
        <x:v>How to Choose a Reliable Website Developer in Hyderabad</x:v>
      </x:c>
      <x:c r="E8" s="61" t="str">
        <x:v>choose website developer hyderabad</x:v>
      </x:c>
      <x:c r="F8" s="61" t="str">
        <x:v>MOFU</x:v>
      </x:c>
      <x:c r="G8" s="61" t="str">
        <x:v>Hyderabad small businesses</x:v>
      </x:c>
      <x:c r="H8" s="61" t="str">
        <x:v>Evaluate vendor</x:v>
      </x:c>
      <x:c r="I8" s="61" t="str">
        <x:v>Portfolio verification, ownership, support and communication examples</x:v>
      </x:c>
      <x:c r="J8" s="61" t="str">
        <x:v>View relevant work</x:v>
      </x:c>
      <x:c r="K8" s="61" t="str">
        <x:v>https://growthmasala.com/website-development-hyderabad</x:v>
      </x:c>
      <x:c r="L8" s="74" t="n">
        <x:v>46292</x:v>
      </x:c>
      <x:c r="M8" s="61" t="str">
        <x:v>Medium</x:v>
      </x:c>
      <x:c r="N8" s="61" t="str">
        <x:v>On Hold</x:v>
      </x:c>
      <x:c r="O8" s="61" t="str">
        <x:v>Hyderabad impressions + assisted leads</x:v>
      </x:c>
      <x:c r="P8" s="61" t="str">
        <x:v>Avoid self-ranking language; use verifiable criteria</x:v>
      </x:c>
      <x:c r="Q8" s="61" t="str">
        <x:v>Content</x:v>
      </x:c>
    </x:row>
    <x:row r="9">
      <x:c r="A9" s="61" t="str">
        <x:v>CT-005</x:v>
      </x:c>
      <x:c r="B9" s="61" t="str">
        <x:v>P1</x:v>
      </x:c>
      <x:c r="C9" s="61" t="str">
        <x:v>Case study</x:v>
      </x:c>
      <x:c r="D9" s="61" t="str">
        <x:v>Hyderabad Kings Mobile World Website Project</x:v>
      </x:c>
      <x:c r="E9" s="61" t="str">
        <x:v>Hyderabad website project proof</x:v>
      </x:c>
      <x:c r="F9" s="61" t="str">
        <x:v>MOFU/BOFU</x:v>
      </x:c>
      <x:c r="G9" s="61" t="str">
        <x:v>Hyderabad retail</x:v>
      </x:c>
      <x:c r="H9" s="61" t="str">
        <x:v>Validate provider</x:v>
      </x:c>
      <x:c r="I9" s="61" t="str">
        <x:v>Client brief, decisions, screenshots, timeline and measurable outcome</x:v>
      </x:c>
      <x:c r="J9" s="61" t="str">
        <x:v>Discuss a similar project</x:v>
      </x:c>
      <x:c r="K9" s="61" t="str">
        <x:v>https://growthmasala.com/website-development-hyderabad</x:v>
      </x:c>
      <x:c r="L9" s="74" t="n">
        <x:v>46285</x:v>
      </x:c>
      <x:c r="M9" s="61" t="str">
        <x:v>Medium</x:v>
      </x:c>
      <x:c r="N9" s="61" t="str">
        <x:v>Planned</x:v>
      </x:c>
      <x:c r="O9" s="61" t="str">
        <x:v>Engaged sessions + external citation</x:v>
      </x:c>
      <x:c r="P9" s="61" t="str">
        <x:v>Publish only with client-approved facts</x:v>
      </x:c>
      <x:c r="Q9" s="61" t="str">
        <x:v>Content</x:v>
      </x:c>
    </x:row>
    <x:row r="10">
      <x:c r="A10" s="61" t="str">
        <x:v>CT-006</x:v>
      </x:c>
      <x:c r="B10" s="61" t="str">
        <x:v>P2</x:v>
      </x:c>
      <x:c r="C10" s="61" t="str">
        <x:v>Diagnostic guide</x:v>
      </x:c>
      <x:c r="D10" s="61" t="str">
        <x:v>Why a Small-Business Website Is Not Generating Enquiries</x:v>
      </x:c>
      <x:c r="E10" s="61" t="str">
        <x:v>website not generating leads</x:v>
      </x:c>
      <x:c r="F10" s="61" t="str">
        <x:v>TOFU/MOFU</x:v>
      </x:c>
      <x:c r="G10" s="61" t="str">
        <x:v>India</x:v>
      </x:c>
      <x:c r="H10" s="61" t="str">
        <x:v>Diagnose problem</x:v>
      </x:c>
      <x:c r="I10" s="61" t="str">
        <x:v>Real audits: offer, mobile path, WhatsApp, speed, analytics</x:v>
      </x:c>
      <x:c r="J10" s="61" t="str">
        <x:v>Request website review</x:v>
      </x:c>
      <x:c r="K10" s="61" t="str">
        <x:v>https://growthmasala.com/website-development-mahabubnagar</x:v>
      </x:c>
      <x:c r="L10" s="74" t="n">
        <x:v>46299</x:v>
      </x:c>
      <x:c r="M10" s="61" t="str">
        <x:v>Medium</x:v>
      </x:c>
      <x:c r="N10" s="61" t="str">
        <x:v>On Hold</x:v>
      </x:c>
      <x:c r="O10" s="61" t="str">
        <x:v>Organic entrances + enquiries</x:v>
      </x:c>
      <x:c r="P10" s="61" t="str">
        <x:v>Needs screenshots or anonymised audit examples</x:v>
      </x:c>
      <x:c r="Q10" s="61" t="str">
        <x:v>Content</x:v>
      </x:c>
    </x:row>
    <x:row r="11">
      <x:c r="A11" s="61" t="str">
        <x:v>CT-007</x:v>
      </x:c>
      <x:c r="B11" s="61" t="str">
        <x:v>P2</x:v>
      </x:c>
      <x:c r="C11" s="61" t="str">
        <x:v>Comparison guide</x:v>
      </x:c>
      <x:c r="D11" s="61" t="str">
        <x:v>Custom Website vs WordPress for a Small Business</x:v>
      </x:c>
      <x:c r="E11" s="61" t="str">
        <x:v>custom vs wordpress website</x:v>
      </x:c>
      <x:c r="F11" s="61" t="str">
        <x:v>MOFU</x:v>
      </x:c>
      <x:c r="G11" s="61" t="str">
        <x:v>India</x:v>
      </x:c>
      <x:c r="H11" s="61" t="str">
        <x:v>Choose platform</x:v>
      </x:c>
      <x:c r="I11" s="61" t="str">
        <x:v>Project trade-offs, editing needs, performance and support</x:v>
      </x:c>
      <x:c r="J11" s="61" t="str">
        <x:v>Choose suitable package</x:v>
      </x:c>
      <x:c r="K11" s="61" t="str">
        <x:v>https://growthmasala.com/website-development-hyderabad</x:v>
      </x:c>
      <x:c r="L11" s="74" t="n">
        <x:v>46299</x:v>
      </x:c>
      <x:c r="M11" s="61" t="str">
        <x:v>Medium</x:v>
      </x:c>
      <x:c r="N11" s="61" t="str">
        <x:v>On Hold</x:v>
      </x:c>
      <x:c r="O11" s="61" t="str">
        <x:v>Assisted conversions</x:v>
      </x:c>
      <x:c r="P11" s="61" t="str">
        <x:v>Do not publish a generic platform summary</x:v>
      </x:c>
      <x:c r="Q11" s="61" t="str">
        <x:v>Content</x:v>
      </x:c>
    </x:row>
    <x:row r="12">
      <x:c r="A12" s="61" t="str">
        <x:v>CT-008</x:v>
      </x:c>
      <x:c r="B12" s="61" t="str">
        <x:v>P2</x:v>
      </x:c>
      <x:c r="C12" s="61" t="str">
        <x:v>Project template</x:v>
      </x:c>
      <x:c r="D12" s="61" t="str">
        <x:v>Small-Business Website Brief Template</x:v>
      </x:c>
      <x:c r="E12" s="61" t="str">
        <x:v>website brief template india</x:v>
      </x:c>
      <x:c r="F12" s="61" t="str">
        <x:v>MOFU</x:v>
      </x:c>
      <x:c r="G12" s="61" t="str">
        <x:v>India</x:v>
      </x:c>
      <x:c r="H12" s="61" t="str">
        <x:v>Prepare project</x:v>
      </x:c>
      <x:c r="I12" s="61" t="str">
        <x:v>Growth Masala discovery questions and acceptance checklist</x:v>
      </x:c>
      <x:c r="J12" s="61" t="str">
        <x:v>Use template / request quote</x:v>
      </x:c>
      <x:c r="K12" s="61" t="str">
        <x:v>https://growthmasala.com/website-development-mahabubnagar</x:v>
      </x:c>
      <x:c r="L12" s="74" t="n">
        <x:v>46306</x:v>
      </x:c>
      <x:c r="M12" s="61" t="str">
        <x:v>Medium</x:v>
      </x:c>
      <x:c r="N12" s="61" t="str">
        <x:v>On Hold</x:v>
      </x:c>
      <x:c r="O12" s="61" t="str">
        <x:v>Downloads + referring domains</x:v>
      </x:c>
      <x:c r="P12" s="61" t="str">
        <x:v>Build as genuinely reusable asset</x:v>
      </x:c>
      <x:c r="Q12" s="61" t="str">
        <x:v>Product</x:v>
      </x:c>
    </x:row>
    <x:row r="13">
      <x:c r="A13" s="61" t="str">
        <x:v>CT-009</x:v>
      </x:c>
      <x:c r="B13" s="61" t="str">
        <x:v>P2</x:v>
      </x:c>
      <x:c r="C13" s="61" t="str">
        <x:v>Industry brief</x:v>
      </x:c>
      <x:c r="D13" s="61" t="str">
        <x:v>What a School Website in Telangana Actually Needs</x:v>
      </x:c>
      <x:c r="E13" s="61" t="str">
        <x:v>school website development hyderabad</x:v>
      </x:c>
      <x:c r="F13" s="61" t="str">
        <x:v>MOFU</x:v>
      </x:c>
      <x:c r="G13" s="61" t="str">
        <x:v>Telangana schools</x:v>
      </x:c>
      <x:c r="H13" s="61" t="str">
        <x:v>Evaluate requirements</x:v>
      </x:c>
      <x:c r="I13" s="61" t="str">
        <x:v>Admissions, notices, mobile usage and content ownership</x:v>
      </x:c>
      <x:c r="J13" s="61" t="str">
        <x:v>Discuss school website</x:v>
      </x:c>
      <x:c r="K13" s="61" t="str">
        <x:v>https://growthmasala.com/website-development-hyderabad</x:v>
      </x:c>
      <x:c r="L13" s="74" t="n">
        <x:v>46313</x:v>
      </x:c>
      <x:c r="M13" s="61" t="str">
        <x:v>Medium</x:v>
      </x:c>
      <x:c r="N13" s="61" t="str">
        <x:v>On Hold</x:v>
      </x:c>
      <x:c r="O13" s="61" t="str">
        <x:v>Relevant impressions + leads</x:v>
      </x:c>
      <x:c r="P13" s="61" t="str">
        <x:v>Requires relevant project or interviews</x:v>
      </x:c>
      <x:c r="Q13" s="61" t="str">
        <x:v>Content</x:v>
      </x:c>
    </x:row>
    <x:row r="14">
      <x:c r="A14" s="62" t="str">
        <x:v>CT-010</x:v>
      </x:c>
      <x:c r="B14" s="62" t="str">
        <x:v>P3</x:v>
      </x:c>
      <x:c r="C14" s="62" t="str">
        <x:v>Industry brief</x:v>
      </x:c>
      <x:c r="D14" s="62" t="str">
        <x:v>Website Requirements for Repair and Retail Businesses</x:v>
      </x:c>
      <x:c r="E14" s="62" t="str">
        <x:v>local business website development</x:v>
      </x:c>
      <x:c r="F14" s="62" t="str">
        <x:v>MOFU</x:v>
      </x:c>
      <x:c r="G14" s="62" t="str">
        <x:v>Telangana local businesses</x:v>
      </x:c>
      <x:c r="H14" s="62" t="str">
        <x:v>Evaluate requirements</x:v>
      </x:c>
      <x:c r="I14" s="62" t="str">
        <x:v>Calls, WhatsApp, catalogue, directions and trust examples</x:v>
      </x:c>
      <x:c r="J14" s="62" t="str">
        <x:v>Discuss business website</x:v>
      </x:c>
      <x:c r="K14" s="62" t="str">
        <x:v>https://growthmasala.com/website-development-mahabubnagar</x:v>
      </x:c>
      <x:c r="L14" s="77" t="n">
        <x:v>46313</x:v>
      </x:c>
      <x:c r="M14" s="62" t="str">
        <x:v>Medium</x:v>
      </x:c>
      <x:c r="N14" s="62" t="str">
        <x:v>On Hold</x:v>
      </x:c>
      <x:c r="O14" s="62" t="str">
        <x:v>Relevant enquiries</x:v>
      </x:c>
      <x:c r="P14" s="62" t="str">
        <x:v>Publish after at least two verified examples</x:v>
      </x:c>
      <x:c r="Q14" s="62" t="str">
        <x:v>Content</x:v>
      </x:c>
    </x:row>
    <x:row r="15">
      <x:c r="A15" t="str">
        <x:v>CT-011</x:v>
      </x:c>
      <x:c r="B15" t="str">
        <x:v>P1</x:v>
      </x:c>
      <x:c r="C15" t="str">
        <x:v>Original distribution article</x:v>
      </x:c>
      <x:c r="D15" t="str">
        <x:v>What a Four-Branch Hyderabad Repair Business Needs From Its Website</x:v>
      </x:c>
      <x:c r="E15" t="str">
        <x:v>website development for Hyderabad repair and retail businesses</x:v>
      </x:c>
      <x:c r="F15" t="str">
        <x:v>MOFU</x:v>
      </x:c>
      <x:c r="G15" t="str">
        <x:v>Hyderabad repair / retail</x:v>
      </x:c>
      <x:c r="H15" t="str">
        <x:v>Evaluate website requirements</x:v>
      </x:c>
      <x:c r="I15" t="str">
        <x:v>Public Kings Mobile World facts; no traffic or revenue claim</x:v>
      </x:c>
      <x:c r="J15" t="str">
        <x:v>View Hyderabad website development</x:v>
      </x:c>
      <x:c r="K15" t="str">
        <x:v>https://growthmasala.com/website-development-hyderabad</x:v>
      </x:c>
      <x:c r="L15" t="n">
        <x:v>46289</x:v>
      </x:c>
      <x:c r="M15" t="str">
        <x:v>Low</x:v>
      </x:c>
      <x:c r="N15" t="str">
        <x:v>Published</x:v>
      </x:c>
      <x:c r="O15" t="str">
        <x:v>Referral sessions + relevant discovery</x:v>
      </x:c>
      <x:c r="P15" t="str">
        <x:v>Review after 28 days; keep link attributes unverified until source inspection is permitted</x:v>
      </x:c>
      <x:c r="Q15" t="str">
        <x:v>Content</x:v>
      </x:c>
    </x:row>
  </x:sheetData>
  <x:mergeCells>
    <x:mergeCell ref="A1:Q1"/>
    <x:mergeCell ref="A2:Q2"/>
  </x:mergeCells>
  <x:conditionalFormatting sqref="B5:B14">
    <x:cfRule type="containsText" dxfId="18" priority="1" operator="containsText" text="P0"/>
    <x:cfRule type="containsText" dxfId="19" priority="2" operator="containsText" text="P1"/>
    <x:cfRule type="containsText" dxfId="20" priority="3" operator="containsText" text="P2"/>
  </x:conditionalFormatting>
  <x:conditionalFormatting sqref="N5:N14">
    <x:cfRule type="containsText" dxfId="21" priority="4" operator="containsText" text="Won"/>
    <x:cfRule type="containsText" dxfId="22" priority="5" operator="containsText" text="Complete"/>
    <x:cfRule type="containsText" dxfId="23" priority="6" operator="containsText" text="In Progress"/>
    <x:cfRule type="containsText" dxfId="24" priority="7" operator="containsText" text="Monitoring"/>
    <x:cfRule type="containsText" dxfId="25" priority="8" operator="containsText" text="On Hold"/>
    <x:cfRule type="containsText" dxfId="26" priority="9" operator="containsText" text="Rejected"/>
  </x:conditionalFormatting>
  <x:dataValidations count="2">
    <x:dataValidation type="list" sqref="B5:B14">
      <x:formula1>"P0,P1,P2,P3"</x:formula1>
    </x:dataValidation>
    <x:dataValidation type="list" sqref="N5:N14">
      <x:formula1>"Not Started,Planned,In Progress,Monitoring,Won,Published,Complete,On 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ffb0d260424f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34" hidden="0" customWidth="1"/>
    <x:col min="4" max="4" width="24" hidden="0" customWidth="1"/>
    <x:col min="5" max="5" width="14" hidden="0" customWidth="1"/>
    <x:col min="6" max="6" width="44" hidden="0" customWidth="1"/>
    <x:col min="7" max="7" width="30" hidden="0" customWidth="1"/>
    <x:col min="8" max="8" width="44" hidden="0" customWidth="1"/>
    <x:col min="9" max="9" width="14" hidden="0" customWidth="1"/>
    <x:col min="10" max="10" width="15" hidden="0" customWidth="1"/>
    <x:col min="11" max="11" width="14" hidden="0" customWidth="1"/>
    <x:col min="12" max="12" width="14" hidden="0" customWidth="1"/>
    <x:col min="13" max="13" width="44" hidden="0" customWidth="1"/>
    <x:col min="14" max="14" width="18" hidden="0" customWidth="1"/>
    <x:col min="15" max="15" width="18" hidden="0" customWidth="1"/>
    <x:col min="16" max="16" width="14" hidden="0" customWidth="1"/>
    <x:col min="17" max="17" width="14" hidden="0" customWidth="1"/>
    <x:col min="18" max="18" width="48" hidden="0" customWidth="1"/>
  </x:cols>
  <x:sheetData>
    <x:row r="1" ht="34" customHeight="1">
      <x:c r="A1" s="3" t="str">
        <x:v>Authority, Mention &amp; Backlink CRM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Relevance, verification and business credibility outrank raw link volume. Social publishing is tracked as distribution, not automatically counted as an SEO link.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14" t="str">
        <x:v>Opportunity ID</x:v>
      </x:c>
      <x:c r="B4" s="21" t="str">
        <x:v>Priority</x:v>
      </x:c>
      <x:c r="C4" s="21" t="str">
        <x:v>Prospect / Asset</x:v>
      </x:c>
      <x:c r="D4" s="21" t="str">
        <x:v>Opportunity Type</x:v>
      </x:c>
      <x:c r="E4" s="21" t="str">
        <x:v>Relevance</x:v>
      </x:c>
      <x:c r="F4" s="21" t="str">
        <x:v>Target URL</x:v>
      </x:c>
      <x:c r="G4" s="21" t="str">
        <x:v>Suggested Anchor</x:v>
      </x:c>
      <x:c r="H4" s="21" t="str">
        <x:v>Contact / Submission URL</x:v>
      </x:c>
      <x:c r="I4" s="21" t="str">
        <x:v>Owner</x:v>
      </x:c>
      <x:c r="J4" s="21" t="str">
        <x:v>Status</x:v>
      </x:c>
      <x:c r="K4" s="21" t="str">
        <x:v>First Contact</x:v>
      </x:c>
      <x:c r="L4" s="21" t="str">
        <x:v>Follow-up</x:v>
      </x:c>
      <x:c r="M4" s="21" t="str">
        <x:v>Live URL</x:v>
      </x:c>
      <x:c r="N4" s="21" t="str">
        <x:v>Link Attribute</x:v>
      </x:c>
      <x:c r="O4" s="21" t="str">
        <x:v>Logged-out Verified</x:v>
      </x:c>
      <x:c r="P4" s="21" t="str">
        <x:v>Referral Sessions</x:v>
      </x:c>
      <x:c r="Q4" s="21" t="str">
        <x:v>Qualified Leads</x:v>
      </x:c>
      <x:c r="R4" s="15" t="str">
        <x:v>Notes / Next Step</x:v>
      </x:c>
    </x:row>
    <x:row r="5">
      <x:c r="A5" s="60" t="str">
        <x:v>BL-001</x:v>
      </x:c>
      <x:c r="B5" s="60" t="str">
        <x:v>P0</x:v>
      </x:c>
      <x:c r="C5" s="60" t="str">
        <x:v>Hyderabad Kings Mobile World</x:v>
      </x:c>
      <x:c r="D5" s="60" t="str">
        <x:v>Client acknowledgement</x:v>
      </x:c>
      <x:c r="E5" s="60" t="str">
        <x:v>Very High</x:v>
      </x:c>
      <x:c r="F5" s="60" t="str">
        <x:v>https://growthmasala.com/website-development-hyderabad</x:v>
      </x:c>
      <x:c r="G5" s="60" t="str">
        <x:v>Growth Masala</x:v>
      </x:c>
      <x:c r="H5" s="60" t="str">
        <x:v>Client contact</x:v>
      </x:c>
      <x:c r="I5" s="60" t="str">
        <x:v>Owner</x:v>
      </x:c>
      <x:c r="J5" s="60" t="str">
        <x:v>Planned</x:v>
      </x:c>
      <x:c r="K5" s="71"/>
      <x:c r="L5" s="71"/>
      <x:c r="M5" s="60" t="str"/>
      <x:c r="N5" s="60" t="str">
        <x:v>Unknown</x:v>
      </x:c>
      <x:c r="O5" s="60" t="str">
        <x:v>No</x:v>
      </x:c>
      <x:c r="P5" s="90"/>
      <x:c r="Q5" s="90"/>
      <x:c r="R5" s="60" t="str">
        <x:v>Request one factual, permission-based project acknowledgement</x:v>
      </x:c>
    </x:row>
    <x:row r="6">
      <x:c r="A6" s="61" t="str">
        <x:v>BL-002</x:v>
      </x:c>
      <x:c r="B6" s="61" t="str">
        <x:v>P0</x:v>
      </x:c>
      <x:c r="C6" s="61" t="str">
        <x:v>Razzak Constructions</x:v>
      </x:c>
      <x:c r="D6" s="61" t="str">
        <x:v>Client acknowledgement</x:v>
      </x:c>
      <x:c r="E6" s="61" t="str">
        <x:v>Very High</x:v>
      </x:c>
      <x:c r="F6" s="61" t="str">
        <x:v>https://growthmasala.com/website-development-mahabubnagar</x:v>
      </x:c>
      <x:c r="G6" s="61" t="str">
        <x:v>Growth Masala</x:v>
      </x:c>
      <x:c r="H6" s="61" t="str">
        <x:v>Client contact</x:v>
      </x:c>
      <x:c r="I6" s="61" t="str">
        <x:v>Owner</x:v>
      </x:c>
      <x:c r="J6" s="61" t="str">
        <x:v>Planned</x:v>
      </x:c>
      <x:c r="K6" s="74"/>
      <x:c r="L6" s="74"/>
      <x:c r="M6" s="61" t="str"/>
      <x:c r="N6" s="61" t="str">
        <x:v>Unknown</x:v>
      </x:c>
      <x:c r="O6" s="61" t="str">
        <x:v>No</x:v>
      </x:c>
      <x:c r="P6" s="91"/>
      <x:c r="Q6" s="91"/>
      <x:c r="R6" s="61" t="str">
        <x:v>Use a branded, contextual attribution only</x:v>
      </x:c>
    </x:row>
    <x:row r="7">
      <x:c r="A7" s="61" t="str">
        <x:v>BL-003</x:v>
      </x:c>
      <x:c r="B7" s="61" t="str">
        <x:v>P1</x:v>
      </x:c>
      <x:c r="C7" s="61" t="str">
        <x:v>Relevant Hyderabad client portfolio mention</x:v>
      </x:c>
      <x:c r="D7" s="61" t="str">
        <x:v>Client / partner mention</x:v>
      </x:c>
      <x:c r="E7" s="61" t="str">
        <x:v>Very High</x:v>
      </x:c>
      <x:c r="F7" s="61" t="str">
        <x:v>https://growthmasala.com/website-development-hyderabad</x:v>
      </x:c>
      <x:c r="G7" s="61" t="str">
        <x:v>Website project by Growth Masala</x:v>
      </x:c>
      <x:c r="H7" s="61" t="str">
        <x:v>Direct outreach</x:v>
      </x:c>
      <x:c r="I7" s="61" t="str">
        <x:v>Owner</x:v>
      </x:c>
      <x:c r="J7" s="61" t="str">
        <x:v>Not Started</x:v>
      </x:c>
      <x:c r="K7" s="74"/>
      <x:c r="L7" s="74"/>
      <x:c r="M7" s="61" t="str"/>
      <x:c r="N7" s="61" t="str">
        <x:v>Unknown</x:v>
      </x:c>
      <x:c r="O7" s="61" t="str">
        <x:v>No</x:v>
      </x:c>
      <x:c r="P7" s="91"/>
      <x:c r="Q7" s="91"/>
      <x:c r="R7" s="61" t="str">
        <x:v>Prioritise an actual client over a directory</x:v>
      </x:c>
    </x:row>
    <x:row r="8">
      <x:c r="A8" s="61" t="str">
        <x:v>BL-004</x:v>
      </x:c>
      <x:c r="B8" s="61" t="str">
        <x:v>P1</x:v>
      </x:c>
      <x:c r="C8" s="61" t="str">
        <x:v>Telangana business ecosystem profile</x:v>
      </x:c>
      <x:c r="D8" s="61" t="str">
        <x:v>Relevant business profile</x:v>
      </x:c>
      <x:c r="E8" s="61" t="str">
        <x:v>High</x:v>
      </x:c>
      <x:c r="F8" s="61" t="str">
        <x:v>https://growthmasala.com</x:v>
      </x:c>
      <x:c r="G8" s="61" t="str">
        <x:v>Growth Masala</x:v>
      </x:c>
      <x:c r="H8" s="61" t="str">
        <x:v>Research required</x:v>
      </x:c>
      <x:c r="I8" s="61" t="str">
        <x:v>SEO</x:v>
      </x:c>
      <x:c r="J8" s="61" t="str">
        <x:v>In Progress</x:v>
      </x:c>
      <x:c r="K8" s="74"/>
      <x:c r="L8" s="74"/>
      <x:c r="M8" s="61" t="str"/>
      <x:c r="N8" s="61" t="str">
        <x:v>Unknown</x:v>
      </x:c>
      <x:c r="O8" s="61" t="str">
        <x:v>No</x:v>
      </x:c>
      <x:c r="P8" s="91"/>
      <x:c r="Q8" s="91"/>
      <x:c r="R8" s="61" t="str">
        <x:v>Verify category, public URL and link before counting</x:v>
      </x:c>
    </x:row>
    <x:row r="9">
      <x:c r="A9" s="61" t="str">
        <x:v>BL-005</x:v>
      </x:c>
      <x:c r="B9" s="61" t="str">
        <x:v>P1</x:v>
      </x:c>
      <x:c r="C9" s="61" t="str">
        <x:v>Mahabubnagar business listing</x:v>
      </x:c>
      <x:c r="D9" s="61" t="str">
        <x:v>Local citation</x:v>
      </x:c>
      <x:c r="E9" s="61" t="str">
        <x:v>High</x:v>
      </x:c>
      <x:c r="F9" s="61" t="str">
        <x:v>https://growthmasala.com</x:v>
      </x:c>
      <x:c r="G9" s="61" t="str">
        <x:v>Growth Masala</x:v>
      </x:c>
      <x:c r="H9" s="61" t="str">
        <x:v>Prepared listing pack</x:v>
      </x:c>
      <x:c r="I9" s="61" t="str">
        <x:v>SEO</x:v>
      </x:c>
      <x:c r="J9" s="61" t="str">
        <x:v>Planned</x:v>
      </x:c>
      <x:c r="K9" s="74"/>
      <x:c r="L9" s="74"/>
      <x:c r="M9" s="61" t="str"/>
      <x:c r="N9" s="61" t="str">
        <x:v>Unknown</x:v>
      </x:c>
      <x:c r="O9" s="61" t="str">
        <x:v>No</x:v>
      </x:c>
      <x:c r="P9" s="91"/>
      <x:c r="Q9" s="91"/>
      <x:c r="R9" s="61" t="str">
        <x:v>Keep business name and service area consistent</x:v>
      </x:c>
    </x:row>
    <x:row r="10">
      <x:c r="A10" s="61" t="str">
        <x:v>BL-006</x:v>
      </x:c>
      <x:c r="B10" s="61" t="str">
        <x:v>P2</x:v>
      </x:c>
      <x:c r="C10" s="61" t="str">
        <x:v>DEV Community author/article</x:v>
      </x:c>
      <x:c r="D10" s="61" t="str">
        <x:v>Content distribution</x:v>
      </x:c>
      <x:c r="E10" s="61" t="str">
        <x:v>Medium</x:v>
      </x:c>
      <x:c r="F10" s="61" t="str">
        <x:v>https://growthmasala.com/website-development-hyderabad</x:v>
      </x:c>
      <x:c r="G10" s="61" t="str">
        <x:v>Growth Masala guide</x:v>
      </x:c>
      <x:c r="H10" s="61" t="str">
        <x:v>https://dev.to/</x:v>
      </x:c>
      <x:c r="I10" s="61" t="str">
        <x:v>Content</x:v>
      </x:c>
      <x:c r="J10" s="61" t="str">
        <x:v>Published</x:v>
      </x:c>
      <x:c r="K10" s="74" t="n">
        <x:v>46254</x:v>
      </x:c>
      <x:c r="L10" s="74"/>
      <x:c r="M10" s="61" t="str">
        <x:v>https://dev.to/growthmasala/7-technical-checks-i-run-before-launching-a-small-business-website-3k8l</x:v>
      </x:c>
      <x:c r="N10" s="61" t="str">
        <x:v>Likely nofollow/UGC</x:v>
      </x:c>
      <x:c r="O10" s="61" t="str">
        <x:v>No</x:v>
      </x:c>
      <x:c r="P10" s="91"/>
      <x:c r="Q10" s="91"/>
      <x:c r="R10" s="61" t="str">
        <x:v>Treat as distribution until public URL and link are verified</x:v>
      </x:c>
    </x:row>
    <x:row r="11">
      <x:c r="A11" s="61" t="str">
        <x:v>BL-007</x:v>
      </x:c>
      <x:c r="B11" s="61" t="str">
        <x:v>P2</x:v>
      </x:c>
      <x:c r="C11" s="61" t="str">
        <x:v>Medium original article</x:v>
      </x:c>
      <x:c r="D11" s="61" t="str">
        <x:v>Content distribution</x:v>
      </x:c>
      <x:c r="E11" s="61" t="str">
        <x:v>Medium</x:v>
      </x:c>
      <x:c r="F11" s="61" t="str">
        <x:v>https://growthmasala.com/website-development-hyderabad</x:v>
      </x:c>
      <x:c r="G11" s="61" t="str">
        <x:v>Growth Masala</x:v>
      </x:c>
      <x:c r="H11" s="61" t="str">
        <x:v>https://medium.com/</x:v>
      </x:c>
      <x:c r="I11" s="61" t="str">
        <x:v>Content</x:v>
      </x:c>
      <x:c r="J11" s="61" t="str">
        <x:v>Published</x:v>
      </x:c>
      <x:c r="K11" s="74" t="n">
        <x:v>46254</x:v>
      </x:c>
      <x:c r="L11" s="74"/>
      <x:c r="M11" s="61" t="str">
        <x:v>https://medium.com/@growthmasala/what-hyderabad-small-businesses-should-ask-before-hiring-a-website-developer-0dddd33c3616</x:v>
      </x:c>
      <x:c r="N11" s="61" t="str">
        <x:v>Likely nofollow</x:v>
      </x:c>
      <x:c r="O11" s="61" t="str">
        <x:v>No</x:v>
      </x:c>
      <x:c r="P11" s="91"/>
      <x:c r="Q11" s="91"/>
      <x:c r="R11" s="61" t="str">
        <x:v>One contextual branded link; avoid duplicate content</x:v>
      </x:c>
    </x:row>
    <x:row r="12">
      <x:c r="A12" s="61" t="str">
        <x:v>BL-008</x:v>
      </x:c>
      <x:c r="B12" s="61" t="str">
        <x:v>P2</x:v>
      </x:c>
      <x:c r="C12" s="61" t="str">
        <x:v>X useful website-development posts</x:v>
      </x:c>
      <x:c r="D12" s="61" t="str">
        <x:v>Brand distribution</x:v>
      </x:c>
      <x:c r="E12" s="61" t="str">
        <x:v>Medium</x:v>
      </x:c>
      <x:c r="F12" s="61" t="str">
        <x:v>https://growthmasala.com</x:v>
      </x:c>
      <x:c r="G12" s="61" t="str">
        <x:v>Growth Masala</x:v>
      </x:c>
      <x:c r="H12" s="61" t="str">
        <x:v>https://x.com/</x:v>
      </x:c>
      <x:c r="I12" s="61" t="str">
        <x:v>Content</x:v>
      </x:c>
      <x:c r="J12" s="61" t="str">
        <x:v>In Progress</x:v>
      </x:c>
      <x:c r="K12" s="74" t="n">
        <x:v>46254</x:v>
      </x:c>
      <x:c r="L12" s="74" t="n">
        <x:v>46258</x:v>
      </x:c>
      <x:c r="M12" s="61" t="str">
        <x:v>https://x.com/growthmasala/status/2091637908763496465</x:v>
      </x:c>
      <x:c r="N12" s="61" t="str">
        <x:v>Nofollow</x:v>
      </x:c>
      <x:c r="O12" s="61" t="str">
        <x:v>No</x:v>
      </x:c>
      <x:c r="P12" s="91"/>
      <x:c r="Q12" s="91"/>
      <x:c r="R12" s="61" t="str">
        <x:v>Aug 24 query-led post: Hyderabad website-designer decision criteria; public URL verified</x:v>
      </x:c>
    </x:row>
    <x:row r="13">
      <x:c r="A13" s="61" t="str">
        <x:v>BL-009</x:v>
      </x:c>
      <x:c r="B13" s="61" t="str">
        <x:v>P3</x:v>
      </x:c>
      <x:c r="C13" s="61" t="str">
        <x:v>Reddit knowledge participation</x:v>
      </x:c>
      <x:c r="D13" s="61" t="str">
        <x:v>Community reputation</x:v>
      </x:c>
      <x:c r="E13" s="61" t="str">
        <x:v>Medium</x:v>
      </x:c>
      <x:c r="F13" s="61" t="str">
        <x:v>No link</x:v>
      </x:c>
      <x:c r="G13" s="61" t="str">
        <x:v>None</x:v>
      </x:c>
      <x:c r="H13" s="61" t="str">
        <x:v>https://www.reddit.com/</x:v>
      </x:c>
      <x:c r="I13" s="61" t="str">
        <x:v>Owner</x:v>
      </x:c>
      <x:c r="J13" s="61" t="str">
        <x:v>In Progress</x:v>
      </x:c>
      <x:c r="K13" s="74" t="n">
        <x:v>46254</x:v>
      </x:c>
      <x:c r="L13" s="74" t="n">
        <x:v>46258</x:v>
      </x:c>
      <x:c r="M13" s="61" t="str">
        <x:v>https://www.reddit.com/r/smallbusiness/comments/1vrus64/comment/p5hg5eb/</x:v>
      </x:c>
      <x:c r="N13" s="61" t="str">
        <x:v>No link</x:v>
      </x:c>
      <x:c r="O13" s="61" t="str">
        <x:v>No</x:v>
      </x:c>
      <x:c r="P13" s="91"/>
      <x:c r="Q13" s="91"/>
      <x:c r="R13" s="61" t="str">
        <x:v>Second help-only comment published Aug 24; no brand, link, DM invitation or promotion; monitor retention</x:v>
      </x:c>
    </x:row>
    <x:row r="14">
      <x:c r="A14" s="61" t="str">
        <x:v>BL-010</x:v>
      </x:c>
      <x:c r="B14" s="61" t="str">
        <x:v>P3</x:v>
      </x:c>
      <x:c r="C14" s="61" t="str">
        <x:v>Clutch Basic</x:v>
      </x:c>
      <x:c r="D14" s="61" t="str">
        <x:v>Agency profile / reviews</x:v>
      </x:c>
      <x:c r="E14" s="61" t="str">
        <x:v>Medium</x:v>
      </x:c>
      <x:c r="F14" s="61" t="str">
        <x:v>https://growthmasala.com</x:v>
      </x:c>
      <x:c r="G14" s="61" t="str">
        <x:v>Growth Masala</x:v>
      </x:c>
      <x:c r="H14" s="61" t="str">
        <x:v>https://clutch.co/get-listed</x:v>
      </x:c>
      <x:c r="I14" s="61" t="str">
        <x:v>Owner</x:v>
      </x:c>
      <x:c r="J14" s="61" t="str">
        <x:v>On Hold</x:v>
      </x:c>
      <x:c r="K14" s="74"/>
      <x:c r="L14" s="74"/>
      <x:c r="M14" s="61" t="str"/>
      <x:c r="N14" s="61" t="str">
        <x:v>Unknown</x:v>
      </x:c>
      <x:c r="O14" s="61" t="str">
        <x:v>No</x:v>
      </x:c>
      <x:c r="P14" s="91"/>
      <x:c r="Q14" s="91"/>
      <x:c r="R14" s="61" t="str">
        <x:v>Deferred by owner; revisit later</x:v>
      </x:c>
    </x:row>
    <x:row r="15">
      <x:c r="A15" s="61" t="str">
        <x:v>BL-011</x:v>
      </x:c>
      <x:c r="B15" s="61" t="str">
        <x:v>P3</x:v>
      </x:c>
      <x:c r="C15" s="61" t="str">
        <x:v>GoodFirms Free</x:v>
      </x:c>
      <x:c r="D15" s="61" t="str">
        <x:v>Agency profile / reviews</x:v>
      </x:c>
      <x:c r="E15" s="61" t="str">
        <x:v>Medium</x:v>
      </x:c>
      <x:c r="F15" s="61" t="str">
        <x:v>https://growthmasala.com</x:v>
      </x:c>
      <x:c r="G15" s="61" t="str">
        <x:v>Growth Masala</x:v>
      </x:c>
      <x:c r="H15" s="61" t="str">
        <x:v>https://help.goodfirms.co/is-it-free-to-get-listed-on-goodfirms/</x:v>
      </x:c>
      <x:c r="I15" s="61" t="str">
        <x:v>Owner</x:v>
      </x:c>
      <x:c r="J15" s="61" t="str">
        <x:v>On Hold</x:v>
      </x:c>
      <x:c r="K15" s="74"/>
      <x:c r="L15" s="74"/>
      <x:c r="M15" s="61" t="str"/>
      <x:c r="N15" s="61" t="str">
        <x:v>Unknown</x:v>
      </x:c>
      <x:c r="O15" s="61" t="str">
        <x:v>No</x:v>
      </x:c>
      <x:c r="P15" s="91"/>
      <x:c r="Q15" s="91"/>
      <x:c r="R15" s="61" t="str">
        <x:v>Deferred by owner; revisit later</x:v>
      </x:c>
    </x:row>
    <x:row r="16">
      <x:c r="A16" s="62" t="str">
        <x:v>BL-012</x:v>
      </x:c>
      <x:c r="B16" s="62" t="str">
        <x:v>P2</x:v>
      </x:c>
      <x:c r="C16" s="62" t="str">
        <x:v>Unlinked brand mention outreach</x:v>
      </x:c>
      <x:c r="D16" s="62" t="str">
        <x:v>Link reclamation</x:v>
      </x:c>
      <x:c r="E16" s="62" t="str">
        <x:v>High</x:v>
      </x:c>
      <x:c r="F16" s="62" t="str">
        <x:v>https://growthmasala.com</x:v>
      </x:c>
      <x:c r="G16" s="62" t="str">
        <x:v>Growth Masala</x:v>
      </x:c>
      <x:c r="H16" s="62" t="str">
        <x:v>Ahrefs Content Explorer / Google</x:v>
      </x:c>
      <x:c r="I16" s="62" t="str">
        <x:v>SEO</x:v>
      </x:c>
      <x:c r="J16" s="62" t="str">
        <x:v>Not Started</x:v>
      </x:c>
      <x:c r="K16" s="77"/>
      <x:c r="L16" s="77"/>
      <x:c r="M16" s="62" t="str"/>
      <x:c r="N16" s="62" t="str">
        <x:v>Unknown</x:v>
      </x:c>
      <x:c r="O16" s="62" t="str">
        <x:v>No</x:v>
      </x:c>
      <x:c r="P16" s="92"/>
      <x:c r="Q16" s="92"/>
      <x:c r="R16" s="62" t="str">
        <x:v>Search monthly; contact only genuine mentions</x:v>
      </x:c>
    </x:row>
    <x:row r="17">
      <x:c r="A17" t="str">
        <x:v>BL-013</x:v>
      </x:c>
      <x:c r="B17" t="str">
        <x:v>P2</x:v>
      </x:c>
      <x:c r="C17" t="str">
        <x:v>Medium original article: four-branch Hyderabad repair website checklist</x:v>
      </x:c>
      <x:c r="D17" t="str">
        <x:v>Content distribution</x:v>
      </x:c>
      <x:c r="E17" t="str">
        <x:v>Medium</x:v>
      </x:c>
      <x:c r="F17" t="str">
        <x:v>https://growthmasala.com/website-development-hyderabad</x:v>
      </x:c>
      <x:c r="G17" t="str">
        <x:v>Growth Masala</x:v>
      </x:c>
      <x:c r="H17" t="str">
        <x:v>https://medium.com/</x:v>
      </x:c>
      <x:c r="I17" t="str">
        <x:v>Content</x:v>
      </x:c>
      <x:c r="J17" t="str">
        <x:v>Published</x:v>
      </x:c>
      <x:c r="K17" t="n">
        <x:v>46289</x:v>
      </x:c>
      <x:c r="L17"/>
      <x:c r="M17" t="str">
        <x:v>https://medium.com/@growthmasala/what-a-four-branch-hyderabad-repair-business-needs-from-its-website-6056a5a83304</x:v>
      </x:c>
      <x:c r="N17" t="str">
        <x:v>Unknown</x:v>
      </x:c>
      <x:c r="O17" t="str">
        <x:v>No</x:v>
      </x:c>
      <x:c r="P17"/>
      <x:c r="Q17"/>
      <x:c r="R17" t="str">
        <x:v>Public article verified; link rel could not be inspected due browser security restriction. Treat as referral/distribution, not a confirmed authority backlink.</x:v>
      </x:c>
    </x:row>
  </x:sheetData>
  <x:mergeCells>
    <x:mergeCell ref="A1:R1"/>
    <x:mergeCell ref="A2:R2"/>
  </x:mergeCells>
  <x:conditionalFormatting sqref="B5:B16">
    <x:cfRule type="containsText" dxfId="27" priority="1" operator="containsText" text="P0"/>
    <x:cfRule type="containsText" dxfId="28" priority="2" operator="containsText" text="P1"/>
    <x:cfRule type="containsText" dxfId="29" priority="3" operator="containsText" text="P2"/>
  </x:conditionalFormatting>
  <x:conditionalFormatting sqref="J5:J16">
    <x:cfRule type="containsText" dxfId="30" priority="4" operator="containsText" text="Won"/>
    <x:cfRule type="containsText" dxfId="31" priority="5" operator="containsText" text="Complete"/>
    <x:cfRule type="containsText" dxfId="32" priority="6" operator="containsText" text="In Progress"/>
    <x:cfRule type="containsText" dxfId="33" priority="7" operator="containsText" text="Monitoring"/>
    <x:cfRule type="containsText" dxfId="34" priority="8" operator="containsText" text="On Hold"/>
    <x:cfRule type="containsText" dxfId="35" priority="9" operator="containsText" text="Rejected"/>
  </x:conditionalFormatting>
  <x:conditionalFormatting sqref="O5:O16">
    <x:cfRule type="containsText" dxfId="36" priority="10" operator="containsText" text="Yes"/>
  </x:conditionalFormatting>
  <x:dataValidations count="3">
    <x:dataValidation type="list" sqref="B5:B16">
      <x:formula1>"P0,P1,P2,P3"</x:formula1>
    </x:dataValidation>
    <x:dataValidation type="list" sqref="J5:J16">
      <x:formula1>"Not Started,Planned,In Progress,Monitoring,Won,Published,Complete,On Hold,Rejected"</x:formula1>
    </x:dataValidation>
    <x:dataValidation type="list" sqref="O5:O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c707fc946741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52" hidden="0" customWidth="1"/>
    <x:col min="4" max="4" width="28" hidden="0" customWidth="1"/>
    <x:col min="5" max="5" width="16" hidden="0" customWidth="1"/>
    <x:col min="6" max="6" width="16" hidden="0" customWidth="1"/>
    <x:col min="7" max="7" width="20" hidden="0" customWidth="1"/>
    <x:col min="8" max="8" width="42" hidden="0" customWidth="1"/>
    <x:col min="9" max="9" width="46" hidden="0" customWidth="1"/>
    <x:col min="10" max="10" width="38" hidden="0" customWidth="1"/>
    <x:col min="11" max="11" width="40" hidden="0" customWidth="1"/>
    <x:col min="12" max="12" width="14" hidden="0" customWidth="1"/>
    <x:col min="13" max="13" width="28" hidden="0" customWidth="1"/>
    <x:col min="14" max="14" width="14" hidden="0" customWidth="1"/>
  </x:cols>
  <x:sheetData>
    <x:row r="1" ht="34" customHeight="1">
      <x:c r="A1" s="3" t="str">
        <x:v>AI Search Visibility Tracker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Use the same prompts monthly. Brand mention and clickable/source citation are separate measurements; answers can vary by location and session.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14" t="str">
        <x:v>Check Date</x:v>
      </x:c>
      <x:c r="B4" s="21" t="str">
        <x:v>Platform</x:v>
      </x:c>
      <x:c r="C4" s="21" t="str">
        <x:v>Prompt</x:v>
      </x:c>
      <x:c r="D4" s="21" t="str">
        <x:v>Geo / Session</x:v>
      </x:c>
      <x:c r="E4" s="21" t="str">
        <x:v>Brand Mentioned</x:v>
      </x:c>
      <x:c r="F4" s="21" t="str">
        <x:v>Citation / Link</x:v>
      </x:c>
      <x:c r="G4" s="21" t="str">
        <x:v>Approx. Placement</x:v>
      </x:c>
      <x:c r="H4" s="21" t="str">
        <x:v>Named Competitors</x:v>
      </x:c>
      <x:c r="I4" s="21" t="str">
        <x:v>What AI Said / Evidence</x:v>
      </x:c>
      <x:c r="J4" s="21" t="str">
        <x:v>Observed Gap</x:v>
      </x:c>
      <x:c r="K4" s="21" t="str">
        <x:v>Next Action</x:v>
      </x:c>
      <x:c r="L4" s="21" t="str">
        <x:v>Status</x:v>
      </x:c>
      <x:c r="M4" s="21" t="str">
        <x:v>Source / Screenshot</x:v>
      </x:c>
      <x:c r="N4" s="15" t="str">
        <x:v>Owner</x:v>
      </x:c>
    </x:row>
    <x:row r="5">
      <x:c r="A5" s="71" t="n">
        <x:v>46254</x:v>
      </x:c>
      <x:c r="B5" s="60" t="str">
        <x:v>ChatGPT</x:v>
      </x:c>
      <x:c r="C5" s="60" t="str">
        <x:v>Recommend digital marketing agencies in Mahabubnagar Telangana for a small business</x:v>
      </x:c>
      <x:c r="D5" s="60" t="str">
        <x:v>Guest / unpersonalised</x:v>
      </x:c>
      <x:c r="E5" s="60" t="str">
        <x:v>Yes</x:v>
      </x:c>
      <x:c r="F5" s="60" t="str">
        <x:v>No</x:v>
      </x:c>
      <x:c r="G5" s="60" t="str">
        <x:v>Shortlist / interview list</x:v>
      </x:c>
      <x:c r="H5" s="60" t="str">
        <x:v>Nayakoti; Sheshidhar; Ajay; Pixel; Bablu</x:v>
      </x:c>
      <x:c r="I5" s="60" t="str">
        <x:v>Clear local focus and offer</x:v>
      </x:c>
      <x:c r="J5" s="60" t="str">
        <x:v>Thin independent review evidence</x:v>
      </x:c>
      <x:c r="K5" s="60" t="str">
        <x:v>Earn external reviews and client corroboration</x:v>
      </x:c>
      <x:c r="L5" s="60" t="str">
        <x:v>Monitoring</x:v>
      </x:c>
      <x:c r="M5" s="60" t="str">
        <x:v>Manual AI check</x:v>
      </x:c>
      <x:c r="N5" s="60" t="str">
        <x:v>SEO</x:v>
      </x:c>
    </x:row>
    <x:row r="6">
      <x:c r="A6" s="74" t="n">
        <x:v>46254</x:v>
      </x:c>
      <x:c r="B6" s="61" t="str">
        <x:v>ChatGPT</x:v>
      </x:c>
      <x:c r="C6" s="61" t="str">
        <x:v>Recommend website developers in Mahabubnagar</x:v>
      </x:c>
      <x:c r="D6" s="61" t="str">
        <x:v>Guest / unpersonalised</x:v>
      </x:c>
      <x:c r="E6" s="61" t="str">
        <x:v>Yes</x:v>
      </x:c>
      <x:c r="F6" s="61" t="str">
        <x:v>No</x:v>
      </x:c>
      <x:c r="G6" s="61" t="str">
        <x:v>Approximately #2</x:v>
      </x:c>
      <x:c r="H6" s="61" t="str">
        <x:v>Bablu; Pixel; Nayakoti; CSIT</x:v>
      </x:c>
      <x:c r="I6" s="61" t="str">
        <x:v>Transparent pricing, portfolio and case studies</x:v>
      </x:c>
      <x:c r="J6" s="61" t="str">
        <x:v>Evidence mainly self-published</x:v>
      </x:c>
      <x:c r="K6" s="61" t="str">
        <x:v>Strengthen third-party project proof</x:v>
      </x:c>
      <x:c r="L6" s="61" t="str">
        <x:v>Monitoring</x:v>
      </x:c>
      <x:c r="M6" s="61" t="str">
        <x:v>Manual AI check</x:v>
      </x:c>
      <x:c r="N6" s="61" t="str">
        <x:v>SEO</x:v>
      </x:c>
    </x:row>
    <x:row r="7">
      <x:c r="A7" s="74" t="n">
        <x:v>46254</x:v>
      </x:c>
      <x:c r="B7" s="61" t="str">
        <x:v>ChatGPT</x:v>
      </x:c>
      <x:c r="C7" s="61" t="str">
        <x:v>Recommend SEO services in Mahabubnagar</x:v>
      </x:c>
      <x:c r="D7" s="61" t="str">
        <x:v>Guest / unpersonalised</x:v>
      </x:c>
      <x:c r="E7" s="61" t="str">
        <x:v>Yes</x:v>
      </x:c>
      <x:c r="F7" s="61" t="str">
        <x:v>No</x:v>
      </x:c>
      <x:c r="G7" s="61" t="str">
        <x:v>Approximately #2–3</x:v>
      </x:c>
      <x:c r="H7" s="61" t="str">
        <x:v>Nayakoti; Bablu; Pixel; Digital Dynamics; Sheshidhar</x:v>
      </x:c>
      <x:c r="I7" s="61" t="str">
        <x:v>Relevant local option</x:v>
      </x:c>
      <x:c r="J7" s="61" t="str">
        <x:v>Independent SEO results limited</x:v>
      </x:c>
      <x:c r="K7" s="61" t="str">
        <x:v>Publish verifiable outcomes and earn reviews</x:v>
      </x:c>
      <x:c r="L7" s="61" t="str">
        <x:v>Monitoring</x:v>
      </x:c>
      <x:c r="M7" s="61" t="str">
        <x:v>Manual AI check</x:v>
      </x:c>
      <x:c r="N7" s="61" t="str">
        <x:v>SEO</x:v>
      </x:c>
    </x:row>
    <x:row r="8">
      <x:c r="A8" s="74" t="n">
        <x:v>46254</x:v>
      </x:c>
      <x:c r="B8" s="61" t="str">
        <x:v>Google AI Overview</x:v>
      </x:c>
      <x:c r="C8" s="61" t="str">
        <x:v>Recommend digital marketing agencies in Mahabubnagar Telangana for a small business</x:v>
      </x:c>
      <x:c r="D8" s="61" t="str">
        <x:v>India</x:v>
      </x:c>
      <x:c r="E8" s="61" t="str">
        <x:v>Yes</x:v>
      </x:c>
      <x:c r="F8" s="61" t="str">
        <x:v>Unknown</x:v>
      </x:c>
      <x:c r="G8" s="61" t="str">
        <x:v>Named first group</x:v>
      </x:c>
      <x:c r="H8" s="61" t="str">
        <x:v>Nayakoti; Laxmi; Icon</x:v>
      </x:c>
      <x:c r="I8" s="61" t="str">
        <x:v>Growth Masala surfaced as a recommendation</x:v>
      </x:c>
      <x:c r="J8" s="61" t="str">
        <x:v>Citation details need retained screenshot</x:v>
      </x:c>
      <x:c r="K8" s="61" t="str">
        <x:v>Repeat monthly with consistent method</x:v>
      </x:c>
      <x:c r="L8" s="61" t="str">
        <x:v>Monitoring</x:v>
      </x:c>
      <x:c r="M8" s="61" t="str">
        <x:v>Google AI Overview</x:v>
      </x:c>
      <x:c r="N8" s="61" t="str">
        <x:v>SEO</x:v>
      </x:c>
    </x:row>
    <x:row r="9">
      <x:c r="A9" s="74" t="n">
        <x:v>46254</x:v>
      </x:c>
      <x:c r="B9" s="61" t="str">
        <x:v>Google AI Overview</x:v>
      </x:c>
      <x:c r="C9" s="61" t="str">
        <x:v>Recommend website developers in Mahabubnagar</x:v>
      </x:c>
      <x:c r="D9" s="61" t="str">
        <x:v>India</x:v>
      </x:c>
      <x:c r="E9" s="61" t="str">
        <x:v>No</x:v>
      </x:c>
      <x:c r="F9" s="61" t="str">
        <x:v>No</x:v>
      </x:c>
      <x:c r="G9" s="61" t="str">
        <x:v>Not included</x:v>
      </x:c>
      <x:c r="H9" s="61" t="str">
        <x:v>Bablu; Pixel; Nayakoti; Creative Designs</x:v>
      </x:c>
      <x:c r="I9" s="61" t="str">
        <x:v>No mention</x:v>
      </x:c>
      <x:c r="J9" s="61" t="str">
        <x:v>Independent web-development entity evidence</x:v>
      </x:c>
      <x:c r="K9" s="61" t="str">
        <x:v>Client citation and project coverage</x:v>
      </x:c>
      <x:c r="L9" s="61" t="str">
        <x:v>Monitoring</x:v>
      </x:c>
      <x:c r="M9" s="61" t="str">
        <x:v>Google AI Overview</x:v>
      </x:c>
      <x:c r="N9" s="61" t="str">
        <x:v>SEO</x:v>
      </x:c>
    </x:row>
    <x:row r="10">
      <x:c r="A10" s="74" t="n">
        <x:v>46254</x:v>
      </x:c>
      <x:c r="B10" s="61" t="str">
        <x:v>Google AI Overview</x:v>
      </x:c>
      <x:c r="C10" s="61" t="str">
        <x:v>Recommend SEO services in Mahabubnagar</x:v>
      </x:c>
      <x:c r="D10" s="61" t="str">
        <x:v>India</x:v>
      </x:c>
      <x:c r="E10" s="61" t="str">
        <x:v>No</x:v>
      </x:c>
      <x:c r="F10" s="61" t="str">
        <x:v>No</x:v>
      </x:c>
      <x:c r="G10" s="61" t="str">
        <x:v>Not included</x:v>
      </x:c>
      <x:c r="H10" s="61" t="str">
        <x:v>Bablu; Pixel; Nayakoti; Ajay; Rise</x:v>
      </x:c>
      <x:c r="I10" s="61" t="str">
        <x:v>No mention</x:v>
      </x:c>
      <x:c r="J10" s="61" t="str">
        <x:v>Independent SEO proof</x:v>
      </x:c>
      <x:c r="K10" s="61" t="str">
        <x:v>Build verified results before targeting AI answers</x:v>
      </x:c>
      <x:c r="L10" s="61" t="str">
        <x:v>Monitoring</x:v>
      </x:c>
      <x:c r="M10" s="61" t="str">
        <x:v>Google AI Overview</x:v>
      </x:c>
      <x:c r="N10" s="61" t="str">
        <x:v>SEO</x:v>
      </x:c>
    </x:row>
    <x:row r="11">
      <x:c r="A11" s="77" t="n">
        <x:v>46254</x:v>
      </x:c>
      <x:c r="B11" s="62" t="str">
        <x:v>Bing / Copilot</x:v>
      </x:c>
      <x:c r="C11" s="62" t="str">
        <x:v>Recommend website development companies in Mahabubnagar</x:v>
      </x:c>
      <x:c r="D11" s="62" t="str">
        <x:v>Location affected by Chicago session</x:v>
      </x:c>
      <x:c r="E11" s="62" t="str">
        <x:v>No</x:v>
      </x:c>
      <x:c r="F11" s="62" t="str">
        <x:v>No</x:v>
      </x:c>
      <x:c r="G11" s="62" t="str">
        <x:v>Not included</x:v>
      </x:c>
      <x:c r="H11" s="62" t="str">
        <x:v>DigitalSolution360; Localist/Konigle; ArGenius; Techsky; Highxbrand; Tekofy</x:v>
      </x:c>
      <x:c r="I11" s="62" t="str">
        <x:v>No mention</x:v>
      </x:c>
      <x:c r="J11" s="62" t="str">
        <x:v>Entity and location/session mismatch</x:v>
      </x:c>
      <x:c r="K11" s="62" t="str">
        <x:v>Repeat from India-consistent environment</x:v>
      </x:c>
      <x:c r="L11" s="62" t="str">
        <x:v>Monitoring</x:v>
      </x:c>
      <x:c r="M11" s="62" t="str">
        <x:v>Bing answer</x:v>
      </x:c>
      <x:c r="N11" s="62" t="str">
        <x:v>SEO</x:v>
      </x:c>
    </x:row>
  </x:sheetData>
  <x:mergeCells>
    <x:mergeCell ref="A1:N1"/>
    <x:mergeCell ref="A2:N2"/>
  </x:mergeCells>
  <x:conditionalFormatting sqref="E5:F11">
    <x:cfRule type="containsText" dxfId="37" priority="1" operator="containsText" text="Yes"/>
    <x:cfRule type="containsText" dxfId="38" priority="2" operator="containsText" text="No"/>
  </x:conditionalFormatting>
  <x:conditionalFormatting sqref="L5:L11">
    <x:cfRule type="containsText" dxfId="39" priority="3" operator="containsText" text="Won"/>
    <x:cfRule type="containsText" dxfId="40" priority="4" operator="containsText" text="Complete"/>
    <x:cfRule type="containsText" dxfId="41" priority="5" operator="containsText" text="In Progress"/>
    <x:cfRule type="containsText" dxfId="42" priority="6" operator="containsText" text="Monitoring"/>
    <x:cfRule type="containsText" dxfId="43" priority="7" operator="containsText" text="On Hold"/>
    <x:cfRule type="containsText" dxfId="44" priority="8" operator="containsText" text="Rejected"/>
  </x:conditionalFormatting>
  <x:dataValidations count="2">
    <x:dataValidation type="list" sqref="E5:F11">
      <x:formula1>"Yes,No,Unknown"</x:formula1>
    </x:dataValidation>
    <x:dataValidation type="list" sqref="L5:L11">
      <x:formula1>"Not Started,Planned,In Progress,Monitoring,Won,Published,Complete,On 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6beee194464f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8" hidden="0" customWidth="1"/>
    <x:col min="4" max="4" width="42" hidden="0" customWidth="1"/>
    <x:col min="5" max="5" width="38" hidden="0" customWidth="1"/>
    <x:col min="6" max="6" width="10" hidden="0" customWidth="1"/>
    <x:col min="7" max="7" width="12" hidden="0" customWidth="1"/>
    <x:col min="8" max="8" width="13" hidden="0" customWidth="1"/>
    <x:col min="9" max="9" width="12" hidden="0" customWidth="1"/>
    <x:col min="10" max="10" width="35" hidden="0" customWidth="1"/>
    <x:col min="11" max="11" width="34" hidden="0" customWidth="1"/>
    <x:col min="12" max="12" width="14" hidden="0" customWidth="1"/>
    <x:col min="13" max="13" width="46" hidden="0" customWidth="1"/>
    <x:col min="14" max="14" width="14" hidden="0" customWidth="1"/>
    <x:col min="15" max="15" width="30" hidden="0" customWidth="1"/>
    <x:col min="16" max="16" width="28" hidden="0" customWidth="1"/>
  </x:cols>
  <x:sheetData>
    <x:row r="1" ht="34" customHeight="1">
      <x:c r="A1" s="3" t="str">
        <x:v>Competitor &amp; SERP Evidence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Authority metrics are directional snapshots, not quality scores. Use strengths and evidence gaps to determine what Growth Masala must prove.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0" customHeight="1">
      <x:c r="A4" s="14" t="str">
        <x:v>Competitor</x:v>
      </x:c>
      <x:c r="B4" s="21" t="str">
        <x:v>Primary Market</x:v>
      </x:c>
      <x:c r="C4" s="21" t="str">
        <x:v>Website</x:v>
      </x:c>
      <x:c r="D4" s="21" t="str">
        <x:v>Observed Strength</x:v>
      </x:c>
      <x:c r="E4" s="21" t="str">
        <x:v>Observed Weakness / Risk</x:v>
      </x:c>
      <x:c r="F4" s="21" t="str">
        <x:v>DR</x:v>
      </x:c>
      <x:c r="G4" s="21" t="str">
        <x:v>Backlinks</x:v>
      </x:c>
      <x:c r="H4" s="21" t="str">
        <x:v>Linking Sites</x:v>
      </x:c>
      <x:c r="I4" s="21" t="str">
        <x:v>Dofollow %</x:v>
      </x:c>
      <x:c r="J4" s="21" t="str">
        <x:v>Reviews / Entity Evidence</x:v>
      </x:c>
      <x:c r="K4" s="21" t="str">
        <x:v>AI / SERP Presence</x:v>
      </x:c>
      <x:c r="L4" s="21" t="str">
        <x:v>Threat Level</x:v>
      </x:c>
      <x:c r="M4" s="21" t="str">
        <x:v>Counter-Strategy</x:v>
      </x:c>
      <x:c r="N4" s="21" t="str">
        <x:v>Last Checked</x:v>
      </x:c>
      <x:c r="O4" s="21" t="str">
        <x:v>Metric Source</x:v>
      </x:c>
      <x:c r="P4" s="15" t="str">
        <x:v>Notes</x:v>
      </x:c>
    </x:row>
    <x:row r="5">
      <x:c r="A5" s="60" t="str">
        <x:v>Growth Masala</x:v>
      </x:c>
      <x:c r="B5" s="60" t="str">
        <x:v>Mahabubnagar + Telangana</x:v>
      </x:c>
      <x:c r="C5" s="60" t="str">
        <x:v>https://growthmasala.com</x:v>
      </x:c>
      <x:c r="D5" s="60" t="str">
        <x:v>Exact local relevance, transparent pricing, portfolio and project content</x:v>
      </x:c>
      <x:c r="E5" s="60" t="str">
        <x:v>Low independent corroboration; early authority</x:v>
      </x:c>
      <x:c r="F5" s="60" t="n">
        <x:v>4.5</x:v>
      </x:c>
      <x:c r="G5" s="60" t="n">
        <x:v>648</x:v>
      </x:c>
      <x:c r="H5" s="60" t="n">
        <x:v>459</x:v>
      </x:c>
      <x:c r="I5" s="98" t="n">
        <x:v>0.02</x:v>
      </x:c>
      <x:c r="J5" s="60" t="str">
        <x:v>Thin third-party review evidence</x:v>
      </x:c>
      <x:c r="K5" s="60" t="str">
        <x:v>Strong local organic; mixed AI inclusion</x:v>
      </x:c>
      <x:c r="L5" s="60" t="str">
        <x:v>Baseline</x:v>
      </x:c>
      <x:c r="M5" s="60" t="str">
        <x:v>Original evidence + relevant external mentions</x:v>
      </x:c>
      <x:c r="N5" s="71" t="n">
        <x:v>46254</x:v>
      </x:c>
      <x:c r="O5" s="60" t="str">
        <x:v>Ahrefs free checker + manual research</x:v>
      </x:c>
      <x:c r="P5" s="60" t="str">
        <x:v>Internal benchmark</x:v>
      </x:c>
    </x:row>
    <x:row r="6">
      <x:c r="A6" s="61" t="str">
        <x:v>Bablu Hosters</x:v>
      </x:c>
      <x:c r="B6" s="61" t="str">
        <x:v>Mahabubnagar</x:v>
      </x:c>
      <x:c r="C6" s="61" t="str">
        <x:v>https://babluhosters.com/</x:v>
      </x:c>
      <x:c r="D6" s="61" t="str">
        <x:v>Founder identity, local small-business focus, website + SEO + hosting, testimonials</x:v>
      </x:c>
      <x:c r="E6" s="61" t="str">
        <x:v>Some unfinished 0+ metrics</x:v>
      </x:c>
      <x:c r="F6" s="61" t="n">
        <x:v>9</x:v>
      </x:c>
      <x:c r="G6" s="61" t="n">
        <x:v>694</x:v>
      </x:c>
      <x:c r="H6" s="61" t="n">
        <x:v>462</x:v>
      </x:c>
      <x:c r="I6" s="99" t="n">
        <x:v>0.02</x:v>
      </x:c>
      <x:c r="J6" s="61" t="str">
        <x:v>Prominent local entity</x:v>
      </x:c>
      <x:c r="K6" s="61" t="str">
        <x:v>Frequently named in AI and local searches</x:v>
      </x:c>
      <x:c r="L6" s="61" t="str">
        <x:v>High</x:v>
      </x:c>
      <x:c r="M6" s="61" t="str">
        <x:v>Beat with clearer proof, project detail and outcomes</x:v>
      </x:c>
      <x:c r="N6" s="74" t="n">
        <x:v>46254</x:v>
      </x:c>
      <x:c r="O6" s="61" t="str">
        <x:v>Ahrefs free checker + official site</x:v>
      </x:c>
      <x:c r="P6" s="61" t="str">
        <x:v>Direct local competitor</x:v>
      </x:c>
    </x:row>
    <x:row r="7">
      <x:c r="A7" s="61" t="str">
        <x:v>Pixel Media Tech</x:v>
      </x:c>
      <x:c r="B7" s="61" t="str">
        <x:v>Mahabubnagar</x:v>
      </x:c>
      <x:c r="C7" s="61" t="str">
        <x:v>https://pixelmediatech.com/</x:v>
      </x:c>
      <x:c r="D7" s="61" t="str">
        <x:v>Local entity, software/web/marketing breadth</x:v>
      </x:c>
      <x:c r="E7" s="61" t="str">
        <x:v>Less transparent buyer guidance</x:v>
      </x:c>
      <x:c r="F7" s="61" t="n">
        <x:v>7</x:v>
      </x:c>
      <x:c r="G7" s="61" t="n">
        <x:v>485</x:v>
      </x:c>
      <x:c r="H7" s="61" t="n">
        <x:v>461</x:v>
      </x:c>
      <x:c r="I7" s="99" t="n">
        <x:v>0.07</x:v>
      </x:c>
      <x:c r="J7" s="61" t="str">
        <x:v>Approx. 17 reviews at 5.0 observed</x:v>
      </x:c>
      <x:c r="K7" s="61" t="str">
        <x:v>Frequently named in AI/local results</x:v>
      </x:c>
      <x:c r="L7" s="61" t="str">
        <x:v>High</x:v>
      </x:c>
      <x:c r="M7" s="61" t="str">
        <x:v>Build independent reviews and stronger website decision assets</x:v>
      </x:c>
      <x:c r="N7" s="74" t="n">
        <x:v>46254</x:v>
      </x:c>
      <x:c r="O7" s="61" t="str">
        <x:v>Ahrefs free checker + local results</x:v>
      </x:c>
      <x:c r="P7" s="61" t="str">
        <x:v>Direct local competitor</x:v>
      </x:c>
    </x:row>
    <x:row r="8">
      <x:c r="A8" s="61" t="str">
        <x:v>Nayakoti</x:v>
      </x:c>
      <x:c r="B8" s="61" t="str">
        <x:v>Mahabubnagar</x:v>
      </x:c>
      <x:c r="C8" s="61" t="str">
        <x:v>Research exact domain</x:v>
      </x:c>
      <x:c r="D8" s="61" t="str">
        <x:v>Strong local reputation and repeated entity references</x:v>
      </x:c>
      <x:c r="E8" s="61" t="str">
        <x:v>Service proof requires deeper audit</x:v>
      </x:c>
      <x:c r="F8" s="61"/>
      <x:c r="G8" s="61"/>
      <x:c r="H8" s="61"/>
      <x:c r="I8" s="99"/>
      <x:c r="J8" s="61" t="str">
        <x:v>Approx. 39 reviews at 5.0 observed</x:v>
      </x:c>
      <x:c r="K8" s="61" t="str">
        <x:v>Often first in AI/local recommendations</x:v>
      </x:c>
      <x:c r="L8" s="61" t="str">
        <x:v>High</x:v>
      </x:c>
      <x:c r="M8" s="61" t="str">
        <x:v>Close review/entity gap through real clients</x:v>
      </x:c>
      <x:c r="N8" s="74" t="n">
        <x:v>46254</x:v>
      </x:c>
      <x:c r="O8" s="61" t="str">
        <x:v>Local results + AI checks</x:v>
      </x:c>
      <x:c r="P8" s="61" t="str">
        <x:v>Entity leader</x:v>
      </x:c>
    </x:row>
    <x:row r="9">
      <x:c r="A9" s="61" t="str">
        <x:v>DigitalSolution360</x:v>
      </x:c>
      <x:c r="B9" s="61" t="str">
        <x:v>Many India city pages</x:v>
      </x:c>
      <x:c r="C9" s="61" t="str">
        <x:v>https://digitalsolution360.in/</x:v>
      </x:c>
      <x:c r="D9" s="61" t="str">
        <x:v>Stronger DR/dofollow profile and broad city coverage</x:v>
      </x:c>
      <x:c r="E9" s="61" t="str">
        <x:v>Noida address; mass location strategy</x:v>
      </x:c>
      <x:c r="F9" s="61" t="n">
        <x:v>35</x:v>
      </x:c>
      <x:c r="G9" s="61" t="n">
        <x:v>2500</x:v>
      </x:c>
      <x:c r="H9" s="61" t="n">
        <x:v>821</x:v>
      </x:c>
      <x:c r="I9" s="99" t="n">
        <x:v>0.23</x:v>
      </x:c>
      <x:c r="J9" s="61" t="str">
        <x:v>Broad directory/entity footprint</x:v>
      </x:c>
      <x:c r="K9" s="61" t="str">
        <x:v>Bing frequently surfaces it</x:v>
      </x:c>
      <x:c r="L9" s="61" t="str">
        <x:v>High</x:v>
      </x:c>
      <x:c r="M9" s="61" t="str">
        <x:v>Compete with true local proof, not city-page volume</x:v>
      </x:c>
      <x:c r="N9" s="74" t="n">
        <x:v>46254</x:v>
      </x:c>
      <x:c r="O9" s="61" t="str">
        <x:v>Ahrefs free checker + Bing</x:v>
      </x:c>
      <x:c r="P9" s="61" t="str">
        <x:v>Authority competitor</x:v>
      </x:c>
    </x:row>
    <x:row r="10">
      <x:c r="A10" s="62" t="str">
        <x:v>Bhushan Tech</x:v>
      </x:c>
      <x:c r="B10" s="62" t="str">
        <x:v>Programmatic city coverage</x:v>
      </x:c>
      <x:c r="C10" s="62" t="str">
        <x:v>Research exact domain</x:v>
      </x:c>
      <x:c r="D10" s="62" t="str">
        <x:v>Large number of city/service pages</x:v>
      </x:c>
      <x:c r="E10" s="62" t="str">
        <x:v>Generic or doorway-looking pattern</x:v>
      </x:c>
      <x:c r="F10" s="62" t="str"/>
      <x:c r="G10" s="62"/>
      <x:c r="H10" s="62"/>
      <x:c r="I10" s="100"/>
      <x:c r="J10" s="62" t="str">
        <x:v>Unknown</x:v>
      </x:c>
      <x:c r="K10" s="62" t="str">
        <x:v>Visible for city-service searches</x:v>
      </x:c>
      <x:c r="L10" s="62" t="str">
        <x:v>Medium</x:v>
      </x:c>
      <x:c r="M10" s="62" t="str">
        <x:v>Avoid imitation; emphasise depth and reality</x:v>
      </x:c>
      <x:c r="N10" s="77" t="n">
        <x:v>46254</x:v>
      </x:c>
      <x:c r="O10" s="62" t="str">
        <x:v>Manual SERP review</x:v>
      </x:c>
      <x:c r="P10" s="62" t="str">
        <x:v>Pattern competitor</x:v>
      </x:c>
    </x:row>
  </x:sheetData>
  <x:mergeCells>
    <x:mergeCell ref="A1:P1"/>
    <x:mergeCell ref="A2:P2"/>
  </x:mergeCells>
  <x:conditionalFormatting sqref="L5:L10">
    <x:cfRule type="containsText" dxfId="45" priority="1" operator="containsText" text="High"/>
  </x:conditionalFormatting>
  <x:dataValidations count="1">
    <x:dataValidation type="list" sqref="L5:L10">
      <x:formula1>"Baseline,Low,Medium,High"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2be987b92f4805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55" hidden="0" customWidth="1"/>
    <x:col min="4" max="4" width="40" hidden="0" customWidth="1"/>
    <x:col min="5" max="5" width="32" hidden="0" customWidth="1"/>
    <x:col min="6" max="6" width="28" hidden="0" customWidth="1"/>
    <x:col min="7" max="7" width="26" hidden="0" customWidth="1"/>
    <x:col min="8" max="8" width="42" hidden="0" customWidth="1"/>
    <x:col min="9" max="9" width="14" hidden="0" customWidth="1"/>
    <x:col min="10" max="10" width="14" hidden="0" customWidth="1"/>
    <x:col min="11" max="11" width="15" hidden="0" customWidth="1"/>
    <x:col min="12" max="12" width="28" hidden="0" customWidth="1"/>
    <x:col min="13" max="13" width="28" hidden="0" customWidth="1"/>
    <x:col min="14" max="14" width="14" hidden="0" customWidth="1"/>
    <x:col min="15" max="15" width="14" hidden="0" customWidth="1"/>
    <x:col min="16" max="16" width="32" hidden="0" customWidth="1"/>
    <x:col min="17" max="17" width="42" hidden="0" customWidth="1"/>
  </x:cols>
  <x:sheetData>
    <x:row r="1" ht="34" customHeight="1">
      <x:c r="A1" s="3" t="str">
        <x:v>SEO Experiment &amp; Decision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0" customHeight="1">
      <x:c r="A2" s="7" t="str">
        <x:v>No action is successful because it was completed. It succeeds only if the preselected metric improves without harming qualified enquiries.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0" customHeight="1">
      <x:c r="A4" s="14" t="str">
        <x:v>Experiment ID</x:v>
      </x:c>
      <x:c r="B4" s="21" t="str">
        <x:v>Priority</x:v>
      </x:c>
      <x:c r="C4" s="21" t="str">
        <x:v>Hypothesis</x:v>
      </x:c>
      <x:c r="D4" s="21" t="str">
        <x:v>Asset / Scope</x:v>
      </x:c>
      <x:c r="E4" s="21" t="str">
        <x:v>Baseline</x:v>
      </x:c>
      <x:c r="F4" s="21" t="str">
        <x:v>Primary Metric</x:v>
      </x:c>
      <x:c r="G4" s="21" t="str">
        <x:v>Secondary Metric</x:v>
      </x:c>
      <x:c r="H4" s="21" t="str">
        <x:v>Target / Threshold</x:v>
      </x:c>
      <x:c r="I4" s="21" t="str">
        <x:v>Start Date</x:v>
      </x:c>
      <x:c r="J4" s="21" t="str">
        <x:v>Review Date</x:v>
      </x:c>
      <x:c r="K4" s="21" t="str">
        <x:v>Status</x:v>
      </x:c>
      <x:c r="L4" s="21" t="str">
        <x:v>Actual Result</x:v>
      </x:c>
      <x:c r="M4" s="21" t="str">
        <x:v>Decision</x:v>
      </x:c>
      <x:c r="N4" s="21" t="str">
        <x:v>Confidence</x:v>
      </x:c>
      <x:c r="O4" s="21" t="str">
        <x:v>Owner</x:v>
      </x:c>
      <x:c r="P4" s="21" t="str">
        <x:v>Evidence Link</x:v>
      </x:c>
      <x:c r="Q4" s="15" t="str">
        <x:v>Learning</x:v>
      </x:c>
    </x:row>
    <x:row r="5">
      <x:c r="A5" s="60" t="str">
        <x:v>EXP-001</x:v>
      </x:c>
      <x:c r="B5" s="60" t="str">
        <x:v>P0</x:v>
      </x:c>
      <x:c r="C5" s="60" t="str">
        <x:v>Relevant authority and existing content support can move the Mahabubnagar website-development page from ~15 into page one without rewriting its title.</x:v>
      </x:c>
      <x:c r="D5" s="60" t="str">
        <x:v>https://growthmasala.com/website-development-mahabubnagar</x:v>
      </x:c>
      <x:c r="E5" s="60" t="str">
        <x:v>Observed rank ~15</x:v>
      </x:c>
      <x:c r="F5" s="60" t="str">
        <x:v>Manual rank + GSC avg position</x:v>
      </x:c>
      <x:c r="G5" s="60" t="str">
        <x:v>Qualified enquiries</x:v>
      </x:c>
      <x:c r="H5" s="60" t="str">
        <x:v>Rank &lt;=10 or sustained relevant impression growth</x:v>
      </x:c>
      <x:c r="I5" s="71" t="n">
        <x:v>46254</x:v>
      </x:c>
      <x:c r="J5" s="71" t="n">
        <x:v>46285</x:v>
      </x:c>
      <x:c r="K5" s="60" t="str">
        <x:v>Monitoring</x:v>
      </x:c>
      <x:c r="L5" s="60" t="str"/>
      <x:c r="M5" s="60" t="str">
        <x:v>Continue / refine / stop</x:v>
      </x:c>
      <x:c r="N5" s="60" t="str">
        <x:v>Medium</x:v>
      </x:c>
      <x:c r="O5" s="60" t="str">
        <x:v>SEO</x:v>
      </x:c>
      <x:c r="P5" s="60" t="str">
        <x:v>Rank Tracker + GSC</x:v>
      </x:c>
      <x:c r="Q5" s="60" t="str"/>
    </x:row>
    <x:row r="6">
      <x:c r="A6" s="61" t="str">
        <x:v>EXP-002</x:v>
      </x:c>
      <x:c r="B6" s="61" t="str">
        <x:v>P0</x:v>
      </x:c>
      <x:c r="C6" s="61" t="str">
        <x:v>One verified Hyderabad client acknowledgement will improve entity corroboration and discovery for website-development searches.</x:v>
      </x:c>
      <x:c r="D6" s="61" t="str">
        <x:v>https://growthmasala.com/website-development-hyderabad</x:v>
      </x:c>
      <x:c r="E6" s="61" t="str">
        <x:v>0 verified client links in CRM</x:v>
      </x:c>
      <x:c r="F6" s="61" t="str">
        <x:v>Verified relevant referring domain</x:v>
      </x:c>
      <x:c r="G6" s="61" t="str">
        <x:v>Hyderabad impressions</x:v>
      </x:c>
      <x:c r="H6" s="61" t="str">
        <x:v>1 live verified client link + directional impression growth</x:v>
      </x:c>
      <x:c r="I6" s="74"/>
      <x:c r="J6" s="74" t="n">
        <x:v>46296</x:v>
      </x:c>
      <x:c r="K6" s="61" t="str">
        <x:v>Planned</x:v>
      </x:c>
      <x:c r="L6" s="61" t="str"/>
      <x:c r="M6" s="61" t="str">
        <x:v>Continue / refine / stop</x:v>
      </x:c>
      <x:c r="N6" s="61" t="str">
        <x:v>Medium</x:v>
      </x:c>
      <x:c r="O6" s="61" t="str">
        <x:v>Owner</x:v>
      </x:c>
      <x:c r="P6" s="61" t="str">
        <x:v>Backlink CRM</x:v>
      </x:c>
      <x:c r="Q6" s="61" t="str"/>
    </x:row>
    <x:row r="7">
      <x:c r="A7" s="61" t="str">
        <x:v>EXP-003</x:v>
      </x:c>
      <x:c r="B7" s="61" t="str">
        <x:v>P1</x:v>
      </x:c>
      <x:c r="C7" s="61" t="str">
        <x:v>A client-approved Hyderabad project case study will improve buyer trust and support AI/organic inclusion.</x:v>
      </x:c>
      <x:c r="D7" s="61" t="str">
        <x:v>Kings Mobile World case study</x:v>
      </x:c>
      <x:c r="E7" s="61" t="str">
        <x:v>Mixed AI inclusion; thin independent proof</x:v>
      </x:c>
      <x:c r="F7" s="61" t="str">
        <x:v>Engaged organic sessions</x:v>
      </x:c>
      <x:c r="G7" s="61" t="str">
        <x:v>AI brand mention rate</x:v>
      </x:c>
      <x:c r="H7" s="61" t="str">
        <x:v>Published with verifiable facts and assisted enquiries</x:v>
      </x:c>
      <x:c r="I7" s="74"/>
      <x:c r="J7" s="74" t="n">
        <x:v>46310</x:v>
      </x:c>
      <x:c r="K7" s="61" t="str">
        <x:v>Planned</x:v>
      </x:c>
      <x:c r="L7" s="61" t="str"/>
      <x:c r="M7" s="61" t="str">
        <x:v>Continue / refine / stop</x:v>
      </x:c>
      <x:c r="N7" s="61" t="str">
        <x:v>Medium</x:v>
      </x:c>
      <x:c r="O7" s="61" t="str">
        <x:v>Content</x:v>
      </x:c>
      <x:c r="P7" s="61" t="str">
        <x:v>AI Visibility + GA4</x:v>
      </x:c>
      <x:c r="Q7" s="61" t="str"/>
    </x:row>
    <x:row r="8">
      <x:c r="A8" s="61" t="str">
        <x:v>EXP-004</x:v>
      </x:c>
      <x:c r="B8" s="61" t="str">
        <x:v>P1</x:v>
      </x:c>
      <x:c r="C8" s="61" t="str">
        <x:v>A useful cost calculator can earn more non-brand traffic and links than several generic blog posts.</x:v>
      </x:c>
      <x:c r="D8" s="61" t="str">
        <x:v>Proposed website cost calculator</x:v>
      </x:c>
      <x:c r="E8" s="61" t="str">
        <x:v>No tool; national cost guide not page one</x:v>
      </x:c>
      <x:c r="F8" s="61" t="str">
        <x:v>Organic entrances to tool</x:v>
      </x:c>
      <x:c r="G8" s="61" t="str">
        <x:v>Referring domains + quote starts</x:v>
      </x:c>
      <x:c r="H8" s="61" t="str">
        <x:v>Validate demand first; then 100 qualified sessions or 2 relevant links in 90 days</x:v>
      </x:c>
      <x:c r="I8" s="74"/>
      <x:c r="J8" s="74" t="n">
        <x:v>46356</x:v>
      </x:c>
      <x:c r="K8" s="61" t="str">
        <x:v>On Hold</x:v>
      </x:c>
      <x:c r="L8" s="61" t="str"/>
      <x:c r="M8" s="61" t="str">
        <x:v>Build / postpone / reject</x:v>
      </x:c>
      <x:c r="N8" s="61" t="str">
        <x:v>Low</x:v>
      </x:c>
      <x:c r="O8" s="61" t="str">
        <x:v>Product</x:v>
      </x:c>
      <x:c r="P8" s="61" t="str">
        <x:v>Keyword Master + GSC</x:v>
      </x:c>
      <x:c r="Q8" s="61" t="str"/>
    </x:row>
    <x:row r="9">
      <x:c r="A9" s="61" t="str">
        <x:v>EXP-005</x:v>
      </x:c>
      <x:c r="B9" s="61" t="str">
        <x:v>P2</x:v>
      </x:c>
      <x:c r="C9" s="61" t="str">
        <x:v>Consistent original Medium/DEV distribution can create branded discovery even if links are nofollow.</x:v>
      </x:c>
      <x:c r="D9" s="61" t="str">
        <x:v>Medium + DEV</x:v>
      </x:c>
      <x:c r="E9" s="61" t="str">
        <x:v>Publishing occurred on 2 of 5 days</x:v>
      </x:c>
      <x:c r="F9" s="61" t="str">
        <x:v>Referral sessions</x:v>
      </x:c>
      <x:c r="G9" s="61" t="str">
        <x:v>Branded impressions</x:v>
      </x:c>
      <x:c r="H9" s="61" t="str">
        <x:v>At least one measurable referral or branded lift over 30 days</x:v>
      </x:c>
      <x:c r="I9" s="74" t="n">
        <x:v>46254</x:v>
      </x:c>
      <x:c r="J9" s="74" t="n">
        <x:v>46285</x:v>
      </x:c>
      <x:c r="K9" s="61" t="str">
        <x:v>Monitoring</x:v>
      </x:c>
      <x:c r="L9" s="61" t="str">
        <x:v>Medium August: 3 views/0 reads; DEV posts below 25 views each; prior X post 3 views; no referral or branded lift yet</x:v>
      </x:c>
      <x:c r="M9" s="61" t="str">
        <x:v>Pause additional Medium/DEV; use selective query-led distribution</x:v>
      </x:c>
      <x:c r="N9" s="61" t="str">
        <x:v>Low</x:v>
      </x:c>
      <x:c r="O9" s="61" t="str">
        <x:v>Content</x:v>
      </x:c>
      <x:c r="P9" s="61" t="str">
        <x:v>Weekly KPI + Backlink CRM</x:v>
      </x:c>
      <x:c r="Q9" s="61" t="str">
        <x:v>More long-form publishing is not justified until existing assets earn reach</x:v>
      </x:c>
    </x:row>
    <x:row r="10">
      <x:c r="A10" s="62" t="str">
        <x:v>EXP-006</x:v>
      </x:c>
      <x:c r="B10" s="62" t="str">
        <x:v>P2</x:v>
      </x:c>
      <x:c r="C10" s="62" t="str">
        <x:v>Helpful, non-promotional Reddit participation can build account trust without moderation risk.</x:v>
      </x:c>
      <x:c r="D10" s="62" t="str">
        <x:v>Reddit account</x:v>
      </x:c>
      <x:c r="E10" s="62" t="str">
        <x:v>Account approximately 5 days old at initial plan</x:v>
      </x:c>
      <x:c r="F10" s="62" t="str">
        <x:v>Comments retained</x:v>
      </x:c>
      <x:c r="G10" s="62" t="str">
        <x:v>Account age / reputation</x:v>
      </x:c>
      <x:c r="H10" s="62" t="str">
        <x:v>Zero removals or warnings; no promotional activity</x:v>
      </x:c>
      <x:c r="I10" s="77" t="n">
        <x:v>46254</x:v>
      </x:c>
      <x:c r="J10" s="77" t="n">
        <x:v>46285</x:v>
      </x:c>
      <x:c r="K10" s="62" t="str">
        <x:v>In Progress</x:v>
      </x:c>
      <x:c r="L10" s="62" t="str">
        <x:v>2 help-only comments published; no links, promotion, removals or warnings observed</x:v>
      </x:c>
      <x:c r="M10" s="62" t="str">
        <x:v>Continue cautiously</x:v>
      </x:c>
      <x:c r="N10" s="62" t="str">
        <x:v>Medium</x:v>
      </x:c>
      <x:c r="O10" s="62" t="str">
        <x:v>Owner</x:v>
      </x:c>
      <x:c r="P10" s="62" t="str">
        <x:v>Reddit profile</x:v>
      </x:c>
      <x:c r="Q10" s="62" t="str">
        <x:v>Answer only recent questions where first-hand web/SEO knowledge adds value</x:v>
      </x:c>
    </x:row>
  </x:sheetData>
  <x:mergeCells>
    <x:mergeCell ref="A1:Q1"/>
    <x:mergeCell ref="A2:Q2"/>
  </x:mergeCells>
  <x:conditionalFormatting sqref="B5:B10">
    <x:cfRule type="containsText" dxfId="46" priority="1" operator="containsText" text="P0"/>
    <x:cfRule type="containsText" dxfId="47" priority="2" operator="containsText" text="P1"/>
    <x:cfRule type="containsText" dxfId="48" priority="3" operator="containsText" text="P2"/>
  </x:conditionalFormatting>
  <x:conditionalFormatting sqref="K5:K10">
    <x:cfRule type="containsText" dxfId="49" priority="4" operator="containsText" text="Won"/>
    <x:cfRule type="containsText" dxfId="50" priority="5" operator="containsText" text="Complete"/>
    <x:cfRule type="containsText" dxfId="51" priority="6" operator="containsText" text="In Progress"/>
    <x:cfRule type="containsText" dxfId="52" priority="7" operator="containsText" text="Monitoring"/>
    <x:cfRule type="containsText" dxfId="53" priority="8" operator="containsText" text="On Hold"/>
    <x:cfRule type="containsText" dxfId="54" priority="9" operator="containsText" text="Rejected"/>
  </x:conditionalFormatting>
  <x:dataValidations count="2">
    <x:dataValidation type="list" sqref="B5:B10">
      <x:formula1>"P0,P1,P2,P3"</x:formula1>
    </x:dataValidation>
    <x:dataValidation type="list" sqref="K5:K10">
      <x:formula1>"Not Started,Planned,In Progress,Monitoring,Won,Published,Complete,On Hold,Rejected"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c514ab15a046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40" hidden="0" customWidth="1"/>
    <x:col min="4" max="4" width="70" hidden="0" customWidth="1"/>
    <x:col min="5" max="5" width="14" hidden="0" customWidth="1"/>
    <x:col min="6" max="6" width="48" hidden="0" customWidth="1"/>
    <x:col min="7" max="7" width="42" hidden="0" customWidth="1"/>
  </x:cols>
  <x:sheetData>
    <x:row r="1" ht="34" customHeight="1">
      <x:c r="A1" s="3" t="str">
        <x:v>Sources, Definitions &amp; Evidence Rules</x:v>
      </x:c>
      <x:c r="B1" s="3"/>
      <x:c r="C1" s="3"/>
      <x:c r="D1" s="3"/>
      <x:c r="E1" s="3"/>
      <x:c r="F1" s="3"/>
      <x:c r="G1" s="3"/>
    </x:row>
    <x:row r="2" ht="30" customHeight="1">
      <x:c r="A2" s="7" t="str">
        <x:v>All external URLs are plain text for Google Sheets compatibility. Dates show when the evidence was reviewed, not when the source was first published.</x:v>
      </x:c>
      <x:c r="B2" s="7"/>
      <x:c r="C2" s="7"/>
      <x:c r="D2" s="7"/>
      <x:c r="E2" s="7"/>
      <x:c r="F2" s="7"/>
      <x:c r="G2" s="7"/>
    </x:row>
    <x:row r="4" ht="30" customHeight="1">
      <x:c r="A4" s="14" t="str">
        <x:v>Source ID</x:v>
      </x:c>
      <x:c r="B4" s="21" t="str">
        <x:v>Category</x:v>
      </x:c>
      <x:c r="C4" s="21" t="str">
        <x:v>Source / Fact</x:v>
      </x:c>
      <x:c r="D4" s="21" t="str">
        <x:v>URL</x:v>
      </x:c>
      <x:c r="E4" s="21" t="str">
        <x:v>Reviewed</x:v>
      </x:c>
      <x:c r="F4" s="21" t="str">
        <x:v>Use in Workbook</x:v>
      </x:c>
      <x:c r="G4" s="15" t="str">
        <x:v>Reliability / Caveat</x:v>
      </x:c>
    </x:row>
    <x:row r="5">
      <x:c r="A5" s="28" t="str">
        <x:v>SRC-001</x:v>
      </x:c>
      <x:c r="B5" s="28" t="str">
        <x:v>Google guidance</x:v>
      </x:c>
      <x:c r="C5" s="28" t="str">
        <x:v>Helpful, reliable, people-first content</x:v>
      </x:c>
      <x:c r="D5" s="28" t="str">
        <x:v>https://developers.google.com/search/docs/fundamentals/creating-helpful-content</x:v>
      </x:c>
      <x:c r="E5" s="104" t="n">
        <x:v>46254</x:v>
      </x:c>
      <x:c r="F5" s="28" t="str">
        <x:v>Original experience, trust, Who/How/Why</x:v>
      </x:c>
      <x:c r="G5" s="28" t="str">
        <x:v>Primary official source</x:v>
      </x:c>
    </x:row>
    <x:row r="6">
      <x:c r="A6" s="30" t="str">
        <x:v>SRC-002</x:v>
      </x:c>
      <x:c r="B6" s="30" t="str">
        <x:v>Google guidance</x:v>
      </x:c>
      <x:c r="C6" s="30" t="str">
        <x:v>SEO Starter Guide</x:v>
      </x:c>
      <x:c r="D6" s="30" t="str">
        <x:v>https://developers.google.com/search/docs/fundamentals/seo-starter-guide</x:v>
      </x:c>
      <x:c r="E6" s="105" t="n">
        <x:v>46254</x:v>
      </x:c>
      <x:c r="F6" s="30" t="str">
        <x:v>Discovery, links, titles, useful content and timelines</x:v>
      </x:c>
      <x:c r="G6" s="30" t="str">
        <x:v>Primary official source</x:v>
      </x:c>
    </x:row>
    <x:row r="7">
      <x:c r="A7" s="30" t="str">
        <x:v>SRC-003</x:v>
      </x:c>
      <x:c r="B7" s="30" t="str">
        <x:v>Google guidance</x:v>
      </x:c>
      <x:c r="C7" s="30" t="str">
        <x:v>AI features and your website</x:v>
      </x:c>
      <x:c r="D7" s="30" t="str">
        <x:v>https://developers.google.com/search/docs/appearance/ai-features</x:v>
      </x:c>
      <x:c r="E7" s="105" t="n">
        <x:v>46254</x:v>
      </x:c>
      <x:c r="F7" s="30" t="str">
        <x:v>No special AI schema; indexed and crawlable content</x:v>
      </x:c>
      <x:c r="G7" s="30" t="str">
        <x:v>Primary official source</x:v>
      </x:c>
    </x:row>
    <x:row r="8">
      <x:c r="A8" s="30" t="str">
        <x:v>SRC-004</x:v>
      </x:c>
      <x:c r="B8" s="30" t="str">
        <x:v>Google guidance</x:v>
      </x:c>
      <x:c r="C8" s="30" t="str">
        <x:v>Generative AI optimisation guide</x:v>
      </x:c>
      <x:c r="D8" s="30" t="str">
        <x:v>https://developers.google.com/search/docs/fundamentals/ai-optimization-guide</x:v>
      </x:c>
      <x:c r="E8" s="105" t="n">
        <x:v>46254</x:v>
      </x:c>
      <x:c r="F8" s="30" t="str">
        <x:v>Non-commodity content and query fan-out</x:v>
      </x:c>
      <x:c r="G8" s="30" t="str">
        <x:v>Primary official source</x:v>
      </x:c>
    </x:row>
    <x:row r="9">
      <x:c r="A9" s="30" t="str">
        <x:v>SRC-005</x:v>
      </x:c>
      <x:c r="B9" s="30" t="str">
        <x:v>Ahrefs methodology</x:v>
      </x:c>
      <x:c r="C9" s="30" t="str">
        <x:v>Quick SEO opportunities</x:v>
      </x:c>
      <x:c r="D9" s="30" t="str">
        <x:v>https://help.ahrefs.com/en/articles/9127446-where-can-i-quickly-find-opportunities-to-improve-my-website-s-seo</x:v>
      </x:c>
      <x:c r="E9" s="105" t="n">
        <x:v>46254</x:v>
      </x:c>
      <x:c r="F9" s="30" t="str">
        <x:v>Positions 4–15, internal links, link intersect and mentions</x:v>
      </x:c>
      <x:c r="G9" s="30" t="str">
        <x:v>Vendor methodology; useful directional framework</x:v>
      </x:c>
    </x:row>
    <x:row r="10">
      <x:c r="A10" s="30" t="str">
        <x:v>SRC-006</x:v>
      </x:c>
      <x:c r="B10" s="30" t="str">
        <x:v>Expert strategy</x:v>
      </x:c>
      <x:c r="C10" s="30" t="str">
        <x:v>Product-Led SEO by Eli Schwartz</x:v>
      </x:c>
      <x:c r="D10" s="30" t="str">
        <x:v>https://www.elischwartz.co/book</x:v>
      </x:c>
      <x:c r="E10" s="105" t="n">
        <x:v>46254</x:v>
      </x:c>
      <x:c r="F10" s="30" t="str">
        <x:v>Business outcomes and search-market fit</x:v>
      </x:c>
      <x:c r="G10" s="30" t="str">
        <x:v>Respected strategic source; not a ranking-system document</x:v>
      </x:c>
    </x:row>
    <x:row r="11">
      <x:c r="A11" s="30" t="str">
        <x:v>SRC-007</x:v>
      </x:c>
      <x:c r="B11" s="30" t="str">
        <x:v>Expert video</x:v>
      </x:c>
      <x:c r="C11" s="30" t="str">
        <x:v>Ahrefs: Keyword Research Tutorial for Google and AI SEO</x:v>
      </x:c>
      <x:c r="D11" s="30" t="str">
        <x:v>https://www.youtube.com/watch?v=KjK5-L-wDVg</x:v>
      </x:c>
      <x:c r="E11" s="105" t="n">
        <x:v>46254</x:v>
      </x:c>
      <x:c r="F11" s="30" t="str">
        <x:v>Business potential, intent, difficulty pressure-test and useful tools</x:v>
      </x:c>
      <x:c r="G11" s="30" t="str">
        <x:v>Official video; transcript unavailable during review</x:v>
      </x:c>
    </x:row>
    <x:row r="12">
      <x:c r="A12" s="30" t="str">
        <x:v>SRC-008</x:v>
      </x:c>
      <x:c r="B12" s="30" t="str">
        <x:v>Search demand</x:v>
      </x:c>
      <x:c r="C12" s="30" t="str">
        <x:v>Google Keyword Planner</x:v>
      </x:c>
      <x:c r="D12" s="30" t="str">
        <x:v>https://ads.google.com/home/tools/keyword-planner/</x:v>
      </x:c>
      <x:c r="E12" s="105" t="n">
        <x:v>46254</x:v>
      </x:c>
      <x:c r="F12" s="30" t="str">
        <x:v>User screenshots: Hyderabad volume bands and paid competition</x:v>
      </x:c>
      <x:c r="G12" s="30" t="str">
        <x:v>Paid competition is not organic difficulty</x:v>
      </x:c>
    </x:row>
    <x:row r="13">
      <x:c r="A13" s="30" t="str">
        <x:v>SRC-009</x:v>
      </x:c>
      <x:c r="B13" s="30" t="str">
        <x:v>Keyword research</x:v>
      </x:c>
      <x:c r="C13" s="30" t="str">
        <x:v>Ahrefs Keyword Generator</x:v>
      </x:c>
      <x:c r="D13" s="30" t="str">
        <x:v>https://ahrefs.com/keyword-generator/</x:v>
      </x:c>
      <x:c r="E13" s="105" t="n">
        <x:v>46254</x:v>
      </x:c>
      <x:c r="F13" s="30" t="str">
        <x:v>Relative KD and website-development variants</x:v>
      </x:c>
      <x:c r="G13" s="30" t="str">
        <x:v>Free-tier estimates; not exact traffic</x:v>
      </x:c>
    </x:row>
    <x:row r="14">
      <x:c r="A14" s="30" t="str">
        <x:v>SRC-010</x:v>
      </x:c>
      <x:c r="B14" s="30" t="str">
        <x:v>Performance</x:v>
      </x:c>
      <x:c r="C14" s="30" t="str">
        <x:v>Google Search Console</x:v>
      </x:c>
      <x:c r="D14" s="30" t="str">
        <x:v>https://search.google.com/search-console</x:v>
      </x:c>
      <x:c r="E14" s="105" t="n">
        <x:v>46254</x:v>
      </x:c>
      <x:c r="F14" s="30" t="str">
        <x:v>34 clicks, 265 impressions, 12.8% CTR, avg position 9.8</x:v>
      </x:c>
      <x:c r="G14" s="30" t="str">
        <x:v>Property-level 3-month baseline; some queries anonymised</x:v>
      </x:c>
    </x:row>
    <x:row r="15">
      <x:c r="A15" s="30" t="str">
        <x:v>SRC-011</x:v>
      </x:c>
      <x:c r="B15" s="30" t="str">
        <x:v>Audience research</x:v>
      </x:c>
      <x:c r="C15" s="30" t="str">
        <x:v>Hyderabad website developer request</x:v>
      </x:c>
      <x:c r="D15" s="30" t="str">
        <x:v>https://www.reddit.com/r/hyderabad/comments/1t1i8as/looking_for_website_developer_in_hyderabad/</x:v>
      </x:c>
      <x:c r="E15" s="105" t="n">
        <x:v>46254</x:v>
      </x:c>
      <x:c r="F15" s="30" t="str">
        <x:v>Modern, mobile, fast, core pages, hosting and budget</x:v>
      </x:c>
      <x:c r="G15" s="30" t="str">
        <x:v>Anecdotal audience evidence</x:v>
      </x:c>
    </x:row>
    <x:row r="16">
      <x:c r="A16" s="30" t="str">
        <x:v>SRC-012</x:v>
      </x:c>
      <x:c r="B16" s="30" t="str">
        <x:v>Audience research</x:v>
      </x:c>
      <x:c r="C16" s="30" t="str">
        <x:v>Hyderabad designer/developer discussion</x:v>
      </x:c>
      <x:c r="D16" s="30" t="str">
        <x:v>https://www.reddit.com/r/hyderabad/comments/1qmg7a2/any_good_website_designersdevelopers_in_hyderabad/</x:v>
      </x:c>
      <x:c r="E16" s="105" t="n">
        <x:v>46254</x:v>
      </x:c>
      <x:c r="F16" s="30" t="str">
        <x:v>Modern UI/UX and reliable support</x:v>
      </x:c>
      <x:c r="G16" s="30" t="str">
        <x:v>Anecdotal audience evidence</x:v>
      </x:c>
    </x:row>
    <x:row r="17">
      <x:c r="A17" s="30" t="str">
        <x:v>SRC-013</x:v>
      </x:c>
      <x:c r="B17" s="30" t="str">
        <x:v>Audience research</x:v>
      </x:c>
      <x:c r="C17" s="30" t="str">
        <x:v>Reliable digital agency discussion</x:v>
      </x:c>
      <x:c r="D17" s="30" t="str">
        <x:v>https://www.reddit.com/r/hyderabad/comments/1r0t3k6/looking_for_a_reliable_digital_marketing_agency/</x:v>
      </x:c>
      <x:c r="E17" s="105" t="n">
        <x:v>46254</x:v>
      </x:c>
      <x:c r="F17" s="30" t="str">
        <x:v>Real experience, communication, genuine work and red flags</x:v>
      </x:c>
      <x:c r="G17" s="30" t="str">
        <x:v>Anecdotal audience evidence</x:v>
      </x:c>
    </x:row>
    <x:row r="18">
      <x:c r="A18" s="30" t="str">
        <x:v>SRC-014</x:v>
      </x:c>
      <x:c r="B18" s="30" t="str">
        <x:v>Internal baseline</x:v>
      </x:c>
      <x:c r="C18" s="30" t="str">
        <x:v>Growth Masala Hyderabad Ranking Plan</x:v>
      </x:c>
      <x:c r="D18" s="30" t="str">
        <x:v>seo/HYDERABAD-RANKING-PLAN.md</x:v>
      </x:c>
      <x:c r="E18" s="105" t="n">
        <x:v>46254</x:v>
      </x:c>
      <x:c r="F18" s="30" t="str">
        <x:v>Consolidated keyword, SERP and execution plan</x:v>
      </x:c>
      <x:c r="G18" s="30" t="str">
        <x:v>Internal research artifact</x:v>
      </x:c>
    </x:row>
    <x:row r="19">
      <x:c r="A19" s="33" t="str">
        <x:v>SRC-015</x:v>
      </x:c>
      <x:c r="B19" s="33" t="str">
        <x:v>Internal baseline</x:v>
      </x:c>
      <x:c r="C19" s="33" t="str">
        <x:v>Growth Masala SEO baseline</x:v>
      </x:c>
      <x:c r="D19" s="33" t="str">
        <x:v>seo/SEO-BASELINE.md</x:v>
      </x:c>
      <x:c r="E19" s="106" t="n">
        <x:v>46254</x:v>
      </x:c>
      <x:c r="F19" s="33" t="str">
        <x:v>Search Console and page-level baseline</x:v>
      </x:c>
      <x:c r="G19" s="33" t="str">
        <x:v>Internal research artifact</x:v>
      </x:c>
    </x:row>
    <x:row r="20" ht="34" customHeight="1">
      <x:c r="A20" t="str">
        <x:v>SRC-016</x:v>
      </x:c>
      <x:c r="B20" t="str">
        <x:v>Performance</x:v>
      </x:c>
      <x:c r="C20" s="29" t="str">
        <x:v>Search Console snapshot: 35 clicks, 322 impressions, 10.9% CTR, average position 9.9</x:v>
      </x:c>
      <x:c r="D20" s="29" t="str">
        <x:v>https://search.google.com/search-console</x:v>
      </x:c>
      <x:c r="E20" s="138" t="n">
        <x:v>46258</x:v>
      </x:c>
      <x:c r="F20" s="29" t="str">
        <x:v>Dashboard and Weekly KPI current snapshot</x:v>
      </x:c>
      <x:c r="G20" s="29" t="str">
        <x:v>Three-month property total through Aug 21; some queries anonymised</x:v>
      </x:c>
    </x:row>
    <x:row r="21" ht="34" customHeight="1">
      <x:c r="A21" t="str">
        <x:v>SRC-021</x:v>
      </x:c>
      <x:c r="B21" t="str">
        <x:v>Performance</x:v>
      </x:c>
      <x:c r="C21" s="29" t="str">
        <x:v>Google Search Console: 45 clicks, 786 impressions, 5.7% CTR, average position 13.3; 3-month property total through Sep 22, 2026</x:v>
      </x:c>
      <x:c r="D21" s="29" t="str">
        <x:v>https://search.google.com/search-console</x:v>
      </x:c>
      <x:c r="E21" s="138" t="n">
        <x:v>46289</x:v>
      </x:c>
      <x:c r="F21" s="29" t="str">
        <x:v>Dashboard current property baseline</x:v>
      </x:c>
      <x:c r="G21" s="29" t="str">
        <x:v>Rounded metrics from live Search Console; page/query counts remain sparse</x:v>
      </x:c>
    </x:row>
    <x:row r="22" ht="34" customHeight="1">
      <x:c r="A22" t="str">
        <x:v>SRC-022</x:v>
      </x:c>
      <x:c r="B22" t="str">
        <x:v>Performance / Indexing</x:v>
      </x:c>
      <x:c r="C22" s="29" t="str">
        <x:v>Bing Webmaster Tools: 0 clicks, 8 impressions in dashboard period Jun 23–Sep 22; IndexNow recommendation present</x:v>
      </x:c>
      <x:c r="D22" s="29" t="str">
        <x:v>https://www.bing.com/webmasters/</x:v>
      </x:c>
      <x:c r="E22" s="138" t="n">
        <x:v>46289</x:v>
      </x:c>
      <x:c r="F22" s="29" t="str">
        <x:v>Bing baseline and indexing follow-up</x:v>
      </x:c>
      <x:c r="G22" s="29" t="str">
        <x:v>New property has very little search data; recommendation is an action item, not a penalty</x:v>
      </x:c>
    </x:row>
    <x:row r="23" ht="34" customHeight="1">
      <x:c r="A23" t="str">
        <x:v>SRC-023</x:v>
      </x:c>
      <x:c r="B23" t="str">
        <x:v>Performance / Queries</x:v>
      </x:c>
      <x:c r="C23" s="29" t="str">
        <x:v>Bing Search Performance top 5 query rows: 5-page website-cost variants (5 impressions combined), ‘the masala portfolio’ (2), and one off-topic ‘soical…’ URL-text query (1); no Hyderabad service query in the visible sample</x:v>
      </x:c>
      <x:c r="D23" s="29" t="str">
        <x:v>https://www.bing.com/webmasters/searchperf?siteUrl=https://growthmasala.com/</x:v>
      </x:c>
      <x:c r="E23" s="138" t="n">
        <x:v>46289</x:v>
      </x:c>
      <x:c r="F23" s="29" t="str">
        <x:v>Bing search intent review</x:v>
      </x:c>
      <x:c r="G23" s="29" t="str">
        <x:v>Only 8 impressions total; query sample is too small to define demand or rank targets</x:v>
      </x:c>
    </x:row>
    <x:row r="24" ht="34" customHeight="1">
      <x:c r="A24" t="str">
        <x:v>SRC-020</x:v>
      </x:c>
      <x:c r="B24" t="str">
        <x:v>Community</x:v>
      </x:c>
      <x:c r="C24" s="29" t="str">
        <x:v>Help-only Reddit answer about evaluating a website rebuild</x:v>
      </x:c>
      <x:c r="D24" s="29" t="str">
        <x:v>https://www.reddit.com/r/smallbusiness/comments/1vrus64/comment/p5hg5eb/</x:v>
      </x:c>
      <x:c r="E24" s="138" t="n">
        <x:v>46258</x:v>
      </x:c>
      <x:c r="F24" s="29" t="str">
        <x:v>Reddit safety experiment and retention tracking</x:v>
      </x:c>
      <x:c r="G24" s="29" t="str">
        <x:v>No brand mention, link, service offer or DM invitation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cf5c73745794301"/>
  </x:tableParts>
</x:worksheet>
</file>